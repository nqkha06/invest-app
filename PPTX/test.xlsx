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qkha/Desktop/"/>
    </mc:Choice>
  </mc:AlternateContent>
  <xr:revisionPtr revIDLastSave="0" documentId="8_{3492C976-B9D4-D549-9074-DB5F4680DD4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Login Test Scenarios" sheetId="1" r:id="rId1"/>
    <sheet name="Example2" sheetId="3" r:id="rId2"/>
    <sheet name="Summar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7" i="2"/>
  <c r="B6" i="2"/>
  <c r="B5" i="2"/>
  <c r="B4" i="2"/>
</calcChain>
</file>

<file path=xl/sharedStrings.xml><?xml version="1.0" encoding="utf-8"?>
<sst xmlns="http://schemas.openxmlformats.org/spreadsheetml/2006/main" count="127" uniqueCount="73">
  <si>
    <t>C# Login Function - Test Scenarios</t>
  </si>
  <si>
    <t>Scenario ID</t>
  </si>
  <si>
    <t>Module</t>
  </si>
  <si>
    <t>Scenario Name</t>
  </si>
  <si>
    <t>Pre-condition</t>
  </si>
  <si>
    <t>Test Steps</t>
  </si>
  <si>
    <t>Username / Email</t>
  </si>
  <si>
    <t>Password</t>
  </si>
  <si>
    <t>Expected Result</t>
  </si>
  <si>
    <t>Actual Result</t>
  </si>
  <si>
    <t>Status</t>
  </si>
  <si>
    <t>TC_LOGIN_001</t>
  </si>
  <si>
    <t>Authentication</t>
  </si>
  <si>
    <t>Đăng nhập thành công với tài khoản hợp lệ</t>
  </si>
  <si>
    <t>User đã tồn tại, IsActive = true</t>
  </si>
  <si>
    <t>1. Mở form Login
2. Nhập username/email hợp lệ
3. Nhập password đúng
4. Bấm Login</t>
  </si>
  <si>
    <t>testuser</t>
  </si>
  <si>
    <t>Password123</t>
  </si>
  <si>
    <t>Hệ thống đăng nhập thành công, trả về Success = true và chuyển vào màn hình chính.</t>
  </si>
  <si>
    <t>Not Run</t>
  </si>
  <si>
    <t>TC_LOGIN_002</t>
  </si>
  <si>
    <t>Đăng nhập thất bại khi sai mật khẩu</t>
  </si>
  <si>
    <t>1. Mở form Login
2. Nhập username/email đúng
3. Nhập password sai
4. Bấm Login</t>
  </si>
  <si>
    <t>WrongPassword</t>
  </si>
  <si>
    <t>Hệ thống trả về Success = false và hiển thị thông báo sai thông tin đăng nhập.</t>
  </si>
  <si>
    <t>TC_LOGIN_003</t>
  </si>
  <si>
    <t>Đăng nhập thất bại khi username không tồn tại</t>
  </si>
  <si>
    <t>Username/email chưa tồn tại trong database</t>
  </si>
  <si>
    <t>1. Mở form Login
2. Nhập username/email không tồn tại
3. Nhập password bất kỳ
4. Bấm Login</t>
  </si>
  <si>
    <t>unknown_user</t>
  </si>
  <si>
    <t>Hệ thống trả về Success = false và không cho đăng nhập.</t>
  </si>
  <si>
    <t>TC_LOGIN_004</t>
  </si>
  <si>
    <t>Không cho đăng nhập khi username/email rỗng</t>
  </si>
  <si>
    <t>Không yêu cầu</t>
  </si>
  <si>
    <t>1. Mở form Login
2. Để trống username/email
3. Nhập password
4. Bấm Login</t>
  </si>
  <si>
    <t>Hệ thống validate lỗi UsernameOrEmail là bắt buộc.</t>
  </si>
  <si>
    <t>TC_LOGIN_005</t>
  </si>
  <si>
    <t>Không cho đăng nhập khi password rỗng</t>
  </si>
  <si>
    <t>1. Mở form Login
2. Nhập username/email
3. Để trống password
4. Bấm Login</t>
  </si>
  <si>
    <t>Hệ thống validate lỗi Password là bắt buộc.</t>
  </si>
  <si>
    <t>TC_LOGIN_006</t>
  </si>
  <si>
    <t>Không cho đăng nhập khi password ngắn hơn 6 ký tự</t>
  </si>
  <si>
    <t>1. Mở form Login
2. Nhập username/email
3. Nhập password dưới 6 ký tự
4. Bấm Login</t>
  </si>
  <si>
    <t>123</t>
  </si>
  <si>
    <t>Hệ thống validate lỗi Password phải có ít nhất 6 ký tự.</t>
  </si>
  <si>
    <t>TC_LOGIN_007</t>
  </si>
  <si>
    <t>Đăng nhập thất bại khi tài khoản bị khóa</t>
  </si>
  <si>
    <t>User đã tồn tại, IsActive = false</t>
  </si>
  <si>
    <t>1. Mở form Login
2. Nhập tài khoản bị khóa
3. Nhập password đúng
4. Bấm Login</t>
  </si>
  <si>
    <t>lockeduser</t>
  </si>
  <si>
    <t>Hệ thống trả về Success = false và thông báo tài khoản đã bị khóa/chưa kích hoạt.</t>
  </si>
  <si>
    <t>TC_LOGIN_008</t>
  </si>
  <si>
    <t>Không cho nhập username/email vượt quá 255 ký tự</t>
  </si>
  <si>
    <t>1. Mở form Login
2. Nhập username/email dài hơn 255 ký tự
3. Nhập password
4. Bấm Login</t>
  </si>
  <si>
    <t>a...a &gt; 255 chars</t>
  </si>
  <si>
    <t>Hệ thống validate lỗi UsernameOrEmail tối đa 255 ký tự.</t>
  </si>
  <si>
    <t>TC_LOGIN_009</t>
  </si>
  <si>
    <t>Không cho nhập password vượt quá 255 ký tự</t>
  </si>
  <si>
    <t>1. Mở form Login
2. Nhập username/email
3. Nhập password dài hơn 255 ký tự
4. Bấm Login</t>
  </si>
  <si>
    <t>Hệ thống validate lỗi Password tối đa 255 ký tự.</t>
  </si>
  <si>
    <t>TC_LOGIN_010</t>
  </si>
  <si>
    <t>Xử lý lỗi khi server không kết nối được</t>
  </si>
  <si>
    <t>Server TCP chưa chạy hoặc sai host/port</t>
  </si>
  <si>
    <t>1. Tắt server
2. Mở client
3. Nhập tài khoản hợp lệ
4. Bấm Login</t>
  </si>
  <si>
    <t>Client trả về Success = false và hiển thị thông báo Unable to connect to server.</t>
  </si>
  <si>
    <t>Login Test Scenario Summary</t>
  </si>
  <si>
    <t>Total Scenarios</t>
  </si>
  <si>
    <t>Passed</t>
  </si>
  <si>
    <t>Failed</t>
  </si>
  <si>
    <t>Blocked</t>
  </si>
  <si>
    <t>Created At</t>
  </si>
  <si>
    <t>2026-06-09 02:59</t>
  </si>
  <si>
    <t>MODULE: AUTH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</si>
</sst>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6"/>
      <color theme="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2563EB"/>
      </patternFill>
    </fill>
    <fill>
      <patternFill patternType="solid">
        <fgColor rgb="FFF3F4F6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horizontal="left" wrapText="1"/>
    </xf>
    <xf numFmtId="0" fontId="0" fillId="0" borderId="0" xfId="0" applyAlignment="1">
      <alignment horizontal="center" wrapText="1"/>
    </xf>
    <xf numFmtId="0" fontId="4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ginTestScenariosTable" displayName="LoginTestScenariosTable" ref="A2:J12">
  <tableColumns count="10">
    <tableColumn id="1" xr3:uid="{00000000-0010-0000-0000-000001000000}" name="Scenario ID"/>
    <tableColumn id="2" xr3:uid="{00000000-0010-0000-0000-000002000000}" name="Module"/>
    <tableColumn id="3" xr3:uid="{00000000-0010-0000-0000-000003000000}" name="Scenario Name"/>
    <tableColumn id="4" xr3:uid="{00000000-0010-0000-0000-000004000000}" name="Pre-condition"/>
    <tableColumn id="5" xr3:uid="{00000000-0010-0000-0000-000005000000}" name="Test Steps"/>
    <tableColumn id="6" xr3:uid="{00000000-0010-0000-0000-000006000000}" name="Username / Email"/>
    <tableColumn id="7" xr3:uid="{00000000-0010-0000-0000-000007000000}" name="Password"/>
    <tableColumn id="8" xr3:uid="{00000000-0010-0000-0000-000008000000}" name="Expected Result"/>
    <tableColumn id="9" xr3:uid="{00000000-0010-0000-0000-000009000000}" name="Actual Result"/>
    <tableColumn id="10" xr3:uid="{00000000-0010-0000-0000-00000A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86C889-774C-934A-9F4B-114FEFD9E9A9}" name="LoginTestScenariosTable3" displayName="LoginTestScenariosTable3" ref="A2:J12">
  <tableColumns count="10">
    <tableColumn id="1" xr3:uid="{2B9D64CF-4981-A540-A317-9801F5610EE1}" name="Scenario ID"/>
    <tableColumn id="2" xr3:uid="{06B532DE-2090-F246-9BE0-1C09D398C0C8}" name="Module"/>
    <tableColumn id="3" xr3:uid="{21E3A66E-BA11-094C-ABFC-0BAF892F9492}" name="Scenario Name"/>
    <tableColumn id="4" xr3:uid="{CCC7D678-CAB1-5745-9C76-83FC3D1F9248}" name="Pre-condition"/>
    <tableColumn id="5" xr3:uid="{5769B107-11CC-574D-A968-0A599748780E}" name="Test Steps"/>
    <tableColumn id="6" xr3:uid="{BD5B547B-EF46-AF4B-896F-BDA2C485DE85}" name="Username / Email"/>
    <tableColumn id="7" xr3:uid="{759A2BE4-29C1-F348-A562-1408B865F349}" name="Password"/>
    <tableColumn id="8" xr3:uid="{D325DB3B-6FA7-1D4D-981C-69A5D0C58ED7}" name="Expected Result"/>
    <tableColumn id="9" xr3:uid="{26DD4DFD-B75F-1249-9434-2E45C782A8AC}" name="Actual Result"/>
    <tableColumn id="10" xr3:uid="{A297E527-C965-A94D-B2D3-A9604D871CD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="68" workbookViewId="0">
      <selection activeCell="N10" sqref="N10"/>
    </sheetView>
  </sheetViews>
  <sheetFormatPr baseColWidth="10" defaultColWidth="8.83203125" defaultRowHeight="14"/>
  <cols>
    <col min="1" max="1" width="16" customWidth="1"/>
    <col min="2" max="2" width="18" customWidth="1"/>
    <col min="3" max="3" width="34" customWidth="1"/>
    <col min="4" max="4" width="30" customWidth="1"/>
    <col min="5" max="5" width="42" customWidth="1"/>
    <col min="6" max="7" width="22" customWidth="1"/>
    <col min="8" max="8" width="48" customWidth="1"/>
    <col min="9" max="9" width="28" customWidth="1"/>
    <col min="10" max="10" width="14" customWidth="1"/>
  </cols>
  <sheetData>
    <row r="1" spans="1:10" ht="37.25" customHeight="1">
      <c r="A1" s="5" t="s">
        <v>72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</row>
    <row r="2" spans="1:10" ht="29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60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/>
      <c r="J3" s="2" t="s">
        <v>67</v>
      </c>
    </row>
    <row r="4" spans="1:10" ht="48" customHeight="1">
      <c r="A4" s="2" t="s">
        <v>20</v>
      </c>
      <c r="B4" s="2" t="s">
        <v>12</v>
      </c>
      <c r="C4" s="2" t="s">
        <v>21</v>
      </c>
      <c r="D4" s="2" t="s">
        <v>14</v>
      </c>
      <c r="E4" s="2" t="s">
        <v>22</v>
      </c>
      <c r="F4" s="2" t="s">
        <v>16</v>
      </c>
      <c r="G4" s="2" t="s">
        <v>23</v>
      </c>
      <c r="H4" s="2" t="s">
        <v>24</v>
      </c>
      <c r="I4" s="2"/>
      <c r="J4" s="2" t="s">
        <v>67</v>
      </c>
    </row>
    <row r="5" spans="1:10" ht="96" customHeight="1">
      <c r="A5" s="2" t="s">
        <v>25</v>
      </c>
      <c r="B5" s="2" t="s">
        <v>12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17</v>
      </c>
      <c r="H5" s="2" t="s">
        <v>30</v>
      </c>
      <c r="I5" s="2"/>
      <c r="J5" s="2" t="s">
        <v>67</v>
      </c>
    </row>
    <row r="6" spans="1:10" ht="96" customHeight="1">
      <c r="A6" s="2" t="s">
        <v>31</v>
      </c>
      <c r="B6" s="2" t="s">
        <v>12</v>
      </c>
      <c r="C6" s="2" t="s">
        <v>32</v>
      </c>
      <c r="D6" s="2" t="s">
        <v>33</v>
      </c>
      <c r="E6" s="2" t="s">
        <v>34</v>
      </c>
      <c r="F6" s="2"/>
      <c r="G6" s="2" t="s">
        <v>17</v>
      </c>
      <c r="H6" s="2" t="s">
        <v>35</v>
      </c>
      <c r="I6" s="2"/>
      <c r="J6" s="2" t="s">
        <v>67</v>
      </c>
    </row>
    <row r="7" spans="1:10" ht="96" customHeight="1">
      <c r="A7" s="2" t="s">
        <v>36</v>
      </c>
      <c r="B7" s="2" t="s">
        <v>12</v>
      </c>
      <c r="C7" s="2" t="s">
        <v>37</v>
      </c>
      <c r="D7" s="2" t="s">
        <v>33</v>
      </c>
      <c r="E7" s="2" t="s">
        <v>38</v>
      </c>
      <c r="F7" s="2" t="s">
        <v>16</v>
      </c>
      <c r="G7" s="2"/>
      <c r="H7" s="2" t="s">
        <v>39</v>
      </c>
      <c r="I7" s="2"/>
      <c r="J7" s="2" t="s">
        <v>67</v>
      </c>
    </row>
    <row r="8" spans="1:10" ht="96" customHeight="1">
      <c r="A8" s="2" t="s">
        <v>40</v>
      </c>
      <c r="B8" s="2" t="s">
        <v>12</v>
      </c>
      <c r="C8" s="2" t="s">
        <v>41</v>
      </c>
      <c r="D8" s="2" t="s">
        <v>33</v>
      </c>
      <c r="E8" s="2" t="s">
        <v>42</v>
      </c>
      <c r="F8" s="2" t="s">
        <v>16</v>
      </c>
      <c r="G8" s="2" t="s">
        <v>43</v>
      </c>
      <c r="H8" s="2" t="s">
        <v>44</v>
      </c>
      <c r="I8" s="2"/>
      <c r="J8" s="2" t="s">
        <v>67</v>
      </c>
    </row>
    <row r="9" spans="1:10" ht="96" customHeight="1">
      <c r="A9" s="2" t="s">
        <v>45</v>
      </c>
      <c r="B9" s="2" t="s">
        <v>12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17</v>
      </c>
      <c r="H9" s="2" t="s">
        <v>50</v>
      </c>
      <c r="I9" s="2"/>
      <c r="J9" s="2" t="s">
        <v>67</v>
      </c>
    </row>
    <row r="10" spans="1:10" ht="96" customHeight="1">
      <c r="A10" s="2" t="s">
        <v>51</v>
      </c>
      <c r="B10" s="2" t="s">
        <v>12</v>
      </c>
      <c r="C10" s="2" t="s">
        <v>52</v>
      </c>
      <c r="D10" s="2" t="s">
        <v>33</v>
      </c>
      <c r="E10" s="2" t="s">
        <v>53</v>
      </c>
      <c r="F10" s="2" t="s">
        <v>54</v>
      </c>
      <c r="G10" s="2" t="s">
        <v>17</v>
      </c>
      <c r="H10" s="2" t="s">
        <v>55</v>
      </c>
      <c r="I10" s="2"/>
      <c r="J10" s="2" t="s">
        <v>67</v>
      </c>
    </row>
    <row r="11" spans="1:10" ht="96" customHeight="1">
      <c r="A11" s="2" t="s">
        <v>56</v>
      </c>
      <c r="B11" s="2" t="s">
        <v>12</v>
      </c>
      <c r="C11" s="2" t="s">
        <v>57</v>
      </c>
      <c r="D11" s="2" t="s">
        <v>33</v>
      </c>
      <c r="E11" s="2" t="s">
        <v>58</v>
      </c>
      <c r="F11" s="2" t="s">
        <v>16</v>
      </c>
      <c r="G11" s="2" t="s">
        <v>54</v>
      </c>
      <c r="H11" s="2" t="s">
        <v>59</v>
      </c>
      <c r="I11" s="2"/>
      <c r="J11" s="2" t="s">
        <v>67</v>
      </c>
    </row>
    <row r="12" spans="1:10" ht="96" customHeight="1">
      <c r="A12" s="2" t="s">
        <v>60</v>
      </c>
      <c r="B12" s="2" t="s">
        <v>12</v>
      </c>
      <c r="C12" s="2" t="s">
        <v>61</v>
      </c>
      <c r="D12" s="2" t="s">
        <v>62</v>
      </c>
      <c r="E12" s="2" t="s">
        <v>63</v>
      </c>
      <c r="F12" s="2" t="s">
        <v>16</v>
      </c>
      <c r="G12" s="2" t="s">
        <v>17</v>
      </c>
      <c r="H12" s="2" t="s">
        <v>64</v>
      </c>
      <c r="I12" s="2"/>
      <c r="J12" s="2" t="s">
        <v>67</v>
      </c>
    </row>
    <row r="13" spans="1:10" ht="96" customHeight="1"/>
    <row r="14" spans="1:10" ht="96" customHeight="1"/>
  </sheetData>
  <mergeCells count="1">
    <mergeCell ref="A1:J1"/>
  </mergeCells>
  <conditionalFormatting sqref="J3:J12">
    <cfRule type="expression" dxfId="7" priority="1">
      <formula>J3="Passed"</formula>
    </cfRule>
    <cfRule type="expression" dxfId="6" priority="2">
      <formula>J3="Failed"</formula>
    </cfRule>
    <cfRule type="expression" dxfId="5" priority="3">
      <formula>J3="Blocked"</formula>
    </cfRule>
    <cfRule type="expression" dxfId="4" priority="4">
      <formula>J3="Not Run"</formula>
    </cfRule>
  </conditionalFormatting>
  <dataValidations count="1">
    <dataValidation type="list" sqref="J3:J12" xr:uid="{00000000-0002-0000-0000-000000000000}">
      <formula1>"Not Run,Passed,Failed,Blocked"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C931A-DBAC-6D46-AD59-E07E1E304149}">
  <dimension ref="A1:J14"/>
  <sheetViews>
    <sheetView workbookViewId="0">
      <selection activeCell="A2" sqref="A2"/>
    </sheetView>
  </sheetViews>
  <sheetFormatPr baseColWidth="10" defaultColWidth="8.83203125" defaultRowHeight="14"/>
  <cols>
    <col min="1" max="1" width="16" customWidth="1"/>
    <col min="2" max="2" width="18" customWidth="1"/>
    <col min="3" max="3" width="34" customWidth="1"/>
    <col min="4" max="4" width="30" customWidth="1"/>
    <col min="5" max="5" width="42" customWidth="1"/>
    <col min="6" max="7" width="22" customWidth="1"/>
    <col min="8" max="8" width="48" customWidth="1"/>
    <col min="9" max="9" width="28" customWidth="1"/>
    <col min="10" max="10" width="14" customWidth="1"/>
  </cols>
  <sheetData>
    <row r="1" spans="1:10" ht="37.25" customHeight="1">
      <c r="A1" s="5" t="s">
        <v>2</v>
      </c>
      <c r="B1" s="5"/>
      <c r="C1" s="5"/>
      <c r="D1" s="5"/>
      <c r="E1" s="5"/>
      <c r="F1" s="5"/>
      <c r="G1" s="5"/>
      <c r="H1" s="5"/>
      <c r="I1" s="5"/>
      <c r="J1" s="5"/>
    </row>
    <row r="2" spans="1:10" ht="29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40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96" customHeight="1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96" customHeight="1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96" customHeight="1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96" customHeight="1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96" customHeight="1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96" customHeight="1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96" customHeight="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96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96" customHeight="1"/>
    <row r="14" spans="1:10" ht="96" customHeight="1"/>
  </sheetData>
  <mergeCells count="1">
    <mergeCell ref="A1:J1"/>
  </mergeCells>
  <conditionalFormatting sqref="J3:J12">
    <cfRule type="expression" dxfId="3" priority="1">
      <formula>J3="Passed"</formula>
    </cfRule>
    <cfRule type="expression" dxfId="2" priority="2">
      <formula>J3="Failed"</formula>
    </cfRule>
    <cfRule type="expression" dxfId="1" priority="3">
      <formula>J3="Blocked"</formula>
    </cfRule>
    <cfRule type="expression" dxfId="0" priority="4">
      <formula>J3="Not Run"</formula>
    </cfRule>
  </conditionalFormatting>
  <dataValidations count="1">
    <dataValidation type="list" sqref="J3:J12" xr:uid="{EDFBFA33-0916-094B-8D7E-8A291CBE11CD}">
      <formula1>"Not Run,Passed,Failed,Blocked"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B4" sqref="B4"/>
    </sheetView>
  </sheetViews>
  <sheetFormatPr baseColWidth="10" defaultColWidth="8.83203125" defaultRowHeight="14"/>
  <cols>
    <col min="1" max="1" width="22" customWidth="1"/>
    <col min="2" max="2" width="18" customWidth="1"/>
  </cols>
  <sheetData>
    <row r="1" spans="1:4" ht="37.25" customHeight="1">
      <c r="A1" s="6" t="s">
        <v>65</v>
      </c>
      <c r="B1" s="6"/>
      <c r="C1" s="6"/>
      <c r="D1" s="6"/>
    </row>
    <row r="3" spans="1:4" ht="16">
      <c r="A3" s="3" t="s">
        <v>66</v>
      </c>
      <c r="B3" s="4">
        <f>COUNTA('Login Test Scenarios'!A3:A12)</f>
        <v>10</v>
      </c>
    </row>
    <row r="4" spans="1:4" ht="16">
      <c r="A4" s="3" t="s">
        <v>67</v>
      </c>
      <c r="B4" s="4">
        <f>COUNTIF('Login Test Scenarios'!J3:J12,"Passed")</f>
        <v>10</v>
      </c>
    </row>
    <row r="5" spans="1:4" ht="16">
      <c r="A5" s="3" t="s">
        <v>68</v>
      </c>
      <c r="B5" s="4">
        <f>COUNTIF('Login Test Scenarios'!J3:J12,"Failed")</f>
        <v>0</v>
      </c>
    </row>
    <row r="6" spans="1:4" ht="16">
      <c r="A6" s="3" t="s">
        <v>69</v>
      </c>
      <c r="B6" s="4">
        <f>COUNTIF('Login Test Scenarios'!J3:J12,"Blocked")</f>
        <v>0</v>
      </c>
    </row>
    <row r="7" spans="1:4" ht="16">
      <c r="A7" s="3" t="s">
        <v>19</v>
      </c>
      <c r="B7" s="4">
        <f>COUNTIF('Login Test Scenarios'!J3:J12,"Not Run")</f>
        <v>0</v>
      </c>
    </row>
    <row r="8" spans="1:4" ht="16">
      <c r="A8" s="3" t="s">
        <v>70</v>
      </c>
      <c r="B8" s="4" t="s">
        <v>71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 Test Scenarios</vt:lpstr>
      <vt:lpstr>Example2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Ngô</cp:lastModifiedBy>
  <dcterms:created xsi:type="dcterms:W3CDTF">2026-06-22T10:48:15Z</dcterms:created>
  <dcterms:modified xsi:type="dcterms:W3CDTF">2026-06-22T10:48:15Z</dcterms:modified>
</cp:coreProperties>
</file>