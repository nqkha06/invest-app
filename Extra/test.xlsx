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qkha/Downloads/"/>
    </mc:Choice>
  </mc:AlternateContent>
  <xr:revisionPtr revIDLastSave="0" documentId="13_ncr:1_{90FC9B8B-0542-BE48-A066-BFDA795325C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Login Test Scenario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7" i="2"/>
  <c r="B6" i="2"/>
  <c r="B5" i="2"/>
  <c r="B4" i="2"/>
</calcChain>
</file>

<file path=xl/sharedStrings.xml><?xml version="1.0" encoding="utf-8"?>
<sst xmlns="http://schemas.openxmlformats.org/spreadsheetml/2006/main" count="745" uniqueCount="419">
  <si>
    <t>C# Login Function - Test Scenarios</t>
  </si>
  <si>
    <t>Scenario ID</t>
  </si>
  <si>
    <t>Module</t>
  </si>
  <si>
    <t>Scenario Name</t>
  </si>
  <si>
    <t>Pre-condition</t>
  </si>
  <si>
    <t>Test Steps</t>
  </si>
  <si>
    <t>Username / Email</t>
  </si>
  <si>
    <t>Password</t>
  </si>
  <si>
    <t>Expected Result</t>
  </si>
  <si>
    <t>Actual Result</t>
  </si>
  <si>
    <t>Status</t>
  </si>
  <si>
    <t>Not Run</t>
  </si>
  <si>
    <t>Đăng nhập thất bại khi sai mật khẩu</t>
  </si>
  <si>
    <t>unknown_user</t>
  </si>
  <si>
    <t>Không yêu cầu</t>
  </si>
  <si>
    <t>Login Test Scenario Summary</t>
  </si>
  <si>
    <t>Total Scenarios</t>
  </si>
  <si>
    <t>Passed</t>
  </si>
  <si>
    <t>Failed</t>
  </si>
  <si>
    <t>Blocked</t>
  </si>
  <si>
    <t>Created At</t>
  </si>
  <si>
    <t>2026-06-09 02:59</t>
  </si>
  <si>
    <t>INVEST APP - ALL MODULE TEST SCENARIOS</t>
  </si>
  <si>
    <t>TC_001</t>
  </si>
  <si>
    <t>Login</t>
  </si>
  <si>
    <t>Đăng nhập thành công bằng username</t>
  </si>
  <si>
    <t>Có tài khoản demo_user đang active</t>
  </si>
  <si>
    <t>1. Mở server và client
2. Nhập demo_user
3. Nhập 123456
4. Bấm Đăng nhập</t>
  </si>
  <si>
    <t>demo_user</t>
  </si>
  <si>
    <t>123456</t>
  </si>
  <si>
    <t>Đăng nhập thành công và mở MainForm thành viên</t>
  </si>
  <si>
    <t>TC_002</t>
  </si>
  <si>
    <t>Đăng nhập thành công bằng email</t>
  </si>
  <si>
    <t>Có tài khoản có email hợp lệ đang active</t>
  </si>
  <si>
    <t>1. Mở form Login
2. Nhập email của user
3. Nhập mật khẩu đúng
4. Bấm Đăng nhập</t>
  </si>
  <si>
    <t>demo@example.com</t>
  </si>
  <si>
    <t>Đăng nhập thành công, hiển thị đúng tên tài khoản</t>
  </si>
  <si>
    <t>TC_003</t>
  </si>
  <si>
    <t>Không đăng nhập khi username rỗng</t>
  </si>
  <si>
    <t>1. Để trống username/email
2. Nhập password bất kỳ
3. Bấm Đăng nhập</t>
  </si>
  <si>
    <t>Hiển thị cảnh báo nhập tài khoản và không vào app</t>
  </si>
  <si>
    <t>TC_004</t>
  </si>
  <si>
    <t>Không đăng nhập khi password rỗng</t>
  </si>
  <si>
    <t>1. Nhập demo_user
2. Để trống password
3. Bấm Đăng nhập</t>
  </si>
  <si>
    <t>Hiển thị cảnh báo nhập mật khẩu và không vào app</t>
  </si>
  <si>
    <t>TC_005</t>
  </si>
  <si>
    <t>Có tài khoản demo_user</t>
  </si>
  <si>
    <t>1. Nhập demo_user
2. Nhập mật khẩu sai
3. Bấm Đăng nhập</t>
  </si>
  <si>
    <t>wrongpass</t>
  </si>
  <si>
    <t>Hiển thị thông báo Invalid credentials hoặc đăng nhập thất bại</t>
  </si>
  <si>
    <t>TC_006</t>
  </si>
  <si>
    <t>Đăng nhập thất bại khi user không tồn tại</t>
  </si>
  <si>
    <t>1. Nhập username không tồn tại
2. Nhập password hợp lệ
3. Bấm Đăng nhập</t>
  </si>
  <si>
    <t>Không đăng nhập và hiển thị lỗi phù hợp</t>
  </si>
  <si>
    <t>TC_007</t>
  </si>
  <si>
    <t>Nút Đăng nhập bị khóa khi đang xử lý</t>
  </si>
  <si>
    <t>Server phản hồi bình thường</t>
  </si>
  <si>
    <t>1. Nhập thông tin hợp lệ
2. Bấm Đăng nhập
3. Quan sát nút trong lúc chờ</t>
  </si>
  <si>
    <t>Nút bị disable khi đang gửi request, tránh bấm lặp</t>
  </si>
  <si>
    <t>TC_008</t>
  </si>
  <si>
    <t>Enter ở ô password thực hiện đăng nhập</t>
  </si>
  <si>
    <t>Form Login đang mở</t>
  </si>
  <si>
    <t>1. Nhập username hợp lệ
2. Nhập password đúng
3. Nhấn Enter tại ô password</t>
  </si>
  <si>
    <t>Hệ thống xử lý như bấm nút Đăng nhập</t>
  </si>
  <si>
    <t>TC_009</t>
  </si>
  <si>
    <t>Register</t>
  </si>
  <si>
    <t>Đăng ký tài khoản mới thành công</t>
  </si>
  <si>
    <t>Username và email chưa tồn tại</t>
  </si>
  <si>
    <t>1. Bấm Đăng ký ngay
2. Nhập username mới
3. Nhập email hợp lệ
4. Nhập password &gt;= 6 ký tự
5. Bấm Tạo tài khoản</t>
  </si>
  <si>
    <t>new_user_01</t>
  </si>
  <si>
    <t>Newpass123</t>
  </si>
  <si>
    <t>Tạo tài khoản thành công và có thể đăng nhập</t>
  </si>
  <si>
    <t>TC_010</t>
  </si>
  <si>
    <t>Không đăng ký khi username dưới 3 ký tự</t>
  </si>
  <si>
    <t>1. Mở form Đăng ký
2. Nhập username 2 ký tự
3. Nhập email hợp lệ và password hợp lệ
4. Bấm Tạo tài khoản</t>
  </si>
  <si>
    <t>ab</t>
  </si>
  <si>
    <t>Hiển thị lỗi username phải từ 3 đến 100 ký tự</t>
  </si>
  <si>
    <t>TC_011</t>
  </si>
  <si>
    <t>Không đăng ký khi email sai định dạng</t>
  </si>
  <si>
    <t>1. Mở form Đăng ký
2. Nhập username hợp lệ
3. Nhập email sai định dạng
4. Bấm Tạo tài khoản</t>
  </si>
  <si>
    <t>new_user_02</t>
  </si>
  <si>
    <t>Hiển thị lỗi Email is invalid</t>
  </si>
  <si>
    <t>TC_012</t>
  </si>
  <si>
    <t>Không đăng ký khi password dưới 6 ký tự</t>
  </si>
  <si>
    <t>1. Mở form Đăng ký
2. Nhập username và email hợp lệ
3. Nhập password 5 ký tự
4. Bấm Tạo tài khoản</t>
  </si>
  <si>
    <t>new_user_03</t>
  </si>
  <si>
    <t>12345</t>
  </si>
  <si>
    <t>Hiển thị lỗi password phải từ 6 đến 255 ký tự</t>
  </si>
  <si>
    <t>TC_013</t>
  </si>
  <si>
    <t>Không đăng ký trùng username</t>
  </si>
  <si>
    <t>Đã có tài khoản demo_user</t>
  </si>
  <si>
    <t>1. Mở form Đăng ký
2. Nhập username demo_user
3. Nhập email mới
4. Bấm Tạo tài khoản</t>
  </si>
  <si>
    <t>Hiển thị lỗi Username is already in use</t>
  </si>
  <si>
    <t>TC_014</t>
  </si>
  <si>
    <t>Không đăng ký trùng email</t>
  </si>
  <si>
    <t>Đã có email của user trong database</t>
  </si>
  <si>
    <t>1. Mở form Đăng ký
2. Nhập username mới
3. Nhập email đã tồn tại
4. Bấm Tạo tài khoản</t>
  </si>
  <si>
    <t>new_user_04</t>
  </si>
  <si>
    <t>Hiển thị lỗi Email is already in use</t>
  </si>
  <si>
    <t>TC_015</t>
  </si>
  <si>
    <t>Nút Quay lại trở về Login</t>
  </si>
  <si>
    <t>Đang ở form Đăng ký</t>
  </si>
  <si>
    <t>1. Mở form Đăng ký
2. Bấm Quay lại</t>
  </si>
  <si>
    <t>Đóng form đăng ký và quay lại màn hình đăng nhập</t>
  </si>
  <si>
    <t>TC_016</t>
  </si>
  <si>
    <t>Email được trim và chuyển thường khi đăng ký</t>
  </si>
  <si>
    <t>Username mới chưa tồn tại</t>
  </si>
  <si>
    <t>1. Nhập email có khoảng trắng và chữ hoa
2. Tạo tài khoản
3. Kiểm tra email profile</t>
  </si>
  <si>
    <t>trim_user</t>
  </si>
  <si>
    <t>Email được lưu dạng lowercase và không có khoảng trắng đầu/cuối</t>
  </si>
  <si>
    <t>TC_017</t>
  </si>
  <si>
    <t>Profile</t>
  </si>
  <si>
    <t>Xem thông tin profile thành viên</t>
  </si>
  <si>
    <t>Đã đăng nhập member</t>
  </si>
  <si>
    <t>1. Vào trang Tài khoản
2. Quan sát username, email, trạng thái</t>
  </si>
  <si>
    <t>Hiển thị đúng thông tin user hiện tại</t>
  </si>
  <si>
    <t>TC_018</t>
  </si>
  <si>
    <t>Cập nhật username và email hợp lệ</t>
  </si>
  <si>
    <t>1. Vào Tài khoản
2. Sửa username/email hợp lệ
3. Bấm Lưu thay đổi</t>
  </si>
  <si>
    <t>member_update</t>
  </si>
  <si>
    <t>Lưu thành công và sidebar cập nhật tên/avatar</t>
  </si>
  <si>
    <t>TC_019</t>
  </si>
  <si>
    <t>Không cập nhật profile khi username quá ngắn</t>
  </si>
  <si>
    <t>1. Vào Tài khoản
2. Nhập username 2 ký tự
3. Bấm Lưu thay đổi</t>
  </si>
  <si>
    <t>TC_020</t>
  </si>
  <si>
    <t>Không cập nhật profile khi email sai định dạng</t>
  </si>
  <si>
    <t>1. Vào Tài khoản
2. Nhập email sai định dạng
3. Bấm Lưu thay đổi</t>
  </si>
  <si>
    <t>TC_021</t>
  </si>
  <si>
    <t>Không cập nhật profile trùng username người khác</t>
  </si>
  <si>
    <t>Có ít nhất 2 user</t>
  </si>
  <si>
    <t>1. Đăng nhập user A
2. Sửa username thành username của user B
3. Bấm Lưu</t>
  </si>
  <si>
    <t>TC_022</t>
  </si>
  <si>
    <t>Đăng xuất quay lại màn hình Login</t>
  </si>
  <si>
    <t>Đã đăng nhập</t>
  </si>
  <si>
    <t>1. Bấm Đăng xuất ở sidebar</t>
  </si>
  <si>
    <t>MainForm đóng hoặc ẩn, quay lại LoginForm</t>
  </si>
  <si>
    <t>TC_023</t>
  </si>
  <si>
    <t>Market</t>
  </si>
  <si>
    <t>Tải danh sách cổ phiếu sau khi đăng nhập</t>
  </si>
  <si>
    <t>Server có dữ liệu seed cổ phiếu</t>
  </si>
  <si>
    <t>1. Đăng nhập member
2. Mở trang Thị trường</t>
  </si>
  <si>
    <t>Bảng giá hiển thị danh sách cổ phiếu sắp xếp theo symbol</t>
  </si>
  <si>
    <t>TC_024</t>
  </si>
  <si>
    <t>Tìm cổ phiếu theo symbol</t>
  </si>
  <si>
    <t>Có cổ phiếu FPT hoặc mã seed tương tự</t>
  </si>
  <si>
    <t>1. Vào Thị trường
2. Nhập FPT vào ô tìm kiếm
3. Bấm tìm hoặc chờ lọc</t>
  </si>
  <si>
    <t>Danh sách chỉ hiển thị cổ phiếu khớp symbol/company</t>
  </si>
  <si>
    <t>TC_025</t>
  </si>
  <si>
    <t>Tìm cổ phiếu theo tên công ty</t>
  </si>
  <si>
    <t>Có dữ liệu company name</t>
  </si>
  <si>
    <t>1. Vào Thị trường
2. Nhập một phần tên công ty
3. Kiểm tra kết quả</t>
  </si>
  <si>
    <t>Hiển thị các cổ phiếu có company chứa từ khóa</t>
  </si>
  <si>
    <t>TC_026</t>
  </si>
  <si>
    <t>Tìm kiếm rỗng trả về toàn bộ cổ phiếu</t>
  </si>
  <si>
    <t>Có nhiều cổ phiếu</t>
  </si>
  <si>
    <t>1. Vào Thị trường
2. Xóa ô tìm kiếm
3. Thực hiện tìm kiếm</t>
  </si>
  <si>
    <t>Bảng quay lại danh sách đầy đủ</t>
  </si>
  <si>
    <t>TC_027</t>
  </si>
  <si>
    <t>Chọn một dòng cổ phiếu mở panel chi tiết</t>
  </si>
  <si>
    <t>Có dữ liệu cổ phiếu</t>
  </si>
  <si>
    <t>1. Vào Thị trường
2. Chọn một dòng cổ phiếu
3. Bấm Xem chi tiết nếu có</t>
  </si>
  <si>
    <t>Khu vực chi tiết hiển thị symbol, giá, company, sector</t>
  </si>
  <si>
    <t>TC_028</t>
  </si>
  <si>
    <t>Giá và phần trăm thay đổi hiển thị đúng format</t>
  </si>
  <si>
    <t>Có dữ liệu giá</t>
  </si>
  <si>
    <t>1. Vào Thị trường
2. Quan sát cột giá và change percent</t>
  </si>
  <si>
    <t>Giá có định dạng số, change percent có dấu +/- phù hợp</t>
  </si>
  <si>
    <t>TC_029</t>
  </si>
  <si>
    <t>Cập nhật giá realtime làm mới bảng giá</t>
  </si>
  <si>
    <t>Server đang chạy job cập nhật giá</t>
  </si>
  <si>
    <t>1. Đăng nhập member
2. Giữ trang Thị trường mở
3. Chờ broadcast StockPriceUpdated</t>
  </si>
  <si>
    <t>Giá cổ phiếu trên bảng được cập nhật không cần đăng nhập lại</t>
  </si>
  <si>
    <t>TC_030</t>
  </si>
  <si>
    <t>Không crash khi server mất kết nối lúc tải bảng giá</t>
  </si>
  <si>
    <t>Tắt server sau khi mở client</t>
  </si>
  <si>
    <t>1. Mở client
2. Tắt server
3. Vào Thị trường hoặc refresh</t>
  </si>
  <si>
    <t>Client hiển thị lỗi kết nối thân thiện, không crash</t>
  </si>
  <si>
    <t>TC_031</t>
  </si>
  <si>
    <t>Bảng giá vẫn mở khi không có dữ liệu</t>
  </si>
  <si>
    <t>Database không có cổ phiếu hoặc search không có kết quả</t>
  </si>
  <si>
    <t>1. Tìm từ khóa không khớp
2. Quan sát bảng</t>
  </si>
  <si>
    <t>Bảng trống hợp lệ, không lỗi giao diện</t>
  </si>
  <si>
    <t>TC_032</t>
  </si>
  <si>
    <t>Sidebar chuyển trang không mất trạng thái đăng nhập</t>
  </si>
  <si>
    <t>1. Vào Thị trường
2. Chuyển Watchlist
3. Chuyển lại Thị trường</t>
  </si>
  <si>
    <t>Vẫn ở phiên user hiện tại, không yêu cầu login lại</t>
  </si>
  <si>
    <t>TC_033</t>
  </si>
  <si>
    <t>Stock Detail</t>
  </si>
  <si>
    <t>Mở chi tiết cổ phiếu từ bảng giá</t>
  </si>
  <si>
    <t>Có ít nhất một cổ phiếu active</t>
  </si>
  <si>
    <t>1. Chọn cổ phiếu
2. Mở chi tiết</t>
  </si>
  <si>
    <t>Hiển thị header symbol, company, sector, giá hiện tại</t>
  </si>
  <si>
    <t>TC_034</t>
  </si>
  <si>
    <t>Nút + Watchlist thêm cổ phiếu vào danh sách theo dõi</t>
  </si>
  <si>
    <t>Cổ phiếu chưa có trong watchlist</t>
  </si>
  <si>
    <t>1. Mở chi tiết cổ phiếu
2. Bấm + Watchlist</t>
  </si>
  <si>
    <t>Nút đổi thành Đã theo dõi và cổ phiếu xuất hiện trong Watchlist</t>
  </si>
  <si>
    <t>TC_035</t>
  </si>
  <si>
    <t>Bấm Đã theo dõi để bỏ watchlist</t>
  </si>
  <si>
    <t>Cổ phiếu đang có trong watchlist</t>
  </si>
  <si>
    <t>1. Mở chi tiết cổ phiếu đã theo dõi
2. Bấm Đã theo dõi</t>
  </si>
  <si>
    <t>Nút đổi về + Watchlist và cổ phiếu bị xóa khỏi Watchlist</t>
  </si>
  <si>
    <t>TC_036</t>
  </si>
  <si>
    <t>Chart</t>
  </si>
  <si>
    <t>Tải biểu đồ khung 1MIN</t>
  </si>
  <si>
    <t>Có dữ liệu StockPriceMinute</t>
  </si>
  <si>
    <t>1. Mở chi tiết cổ phiếu
2. Chọn 1MIN</t>
  </si>
  <si>
    <t>Biểu đồ nến hiển thị dữ liệu 1 phút</t>
  </si>
  <si>
    <t>TC_037</t>
  </si>
  <si>
    <t>Tải biểu đồ khung 5MIN hoặc 15MIN</t>
  </si>
  <si>
    <t>Có dữ liệu lịch sử</t>
  </si>
  <si>
    <t>1. Mở chi tiết cổ phiếu
2. Chọn khung 5MIN hoặc 15MIN</t>
  </si>
  <si>
    <t>Biểu đồ đổi dữ liệu theo interval được chọn</t>
  </si>
  <si>
    <t>TC_038</t>
  </si>
  <si>
    <t>Tải biểu đồ daily</t>
  </si>
  <si>
    <t>Có dữ liệu StockPriceDay</t>
  </si>
  <si>
    <t>1. Mở chi tiết cổ phiếu
2. Chọn khung ngày</t>
  </si>
  <si>
    <t>Biểu đồ hiển thị dữ liệu ngày nếu có</t>
  </si>
  <si>
    <t>TC_039</t>
  </si>
  <si>
    <t>Zoom in biểu đồ</t>
  </si>
  <si>
    <t>Biểu đồ đang có dữ liệu</t>
  </si>
  <si>
    <t>1. Bấm nút + trên biểu đồ</t>
  </si>
  <si>
    <t>Số nến nhìn thấy giảm, biểu đồ phóng to</t>
  </si>
  <si>
    <t>TC_040</t>
  </si>
  <si>
    <t>Zoom out biểu đồ</t>
  </si>
  <si>
    <t>1. Bấm nút - trên biểu đồ</t>
  </si>
  <si>
    <t>Số nến nhìn thấy tăng, biểu đồ thu nhỏ</t>
  </si>
  <si>
    <t>TC_041</t>
  </si>
  <si>
    <t>Reset zoom biểu đồ</t>
  </si>
  <si>
    <t>Đã zoom biểu đồ</t>
  </si>
  <si>
    <t>1. Bấm Reset</t>
  </si>
  <si>
    <t>Biểu đồ quay về mức zoom mặc định</t>
  </si>
  <si>
    <t>TC_042</t>
  </si>
  <si>
    <t>Không lỗi khi cổ phiếu chưa có lịch sử giá</t>
  </si>
  <si>
    <t>Có cổ phiếu không có price history</t>
  </si>
  <si>
    <t>1. Mở chi tiết cổ phiếu đó
2. Chọn các interval biểu đồ</t>
  </si>
  <si>
    <t>Hiển thị biểu đồ trống hoặc thông báo phù hợp, không crash</t>
  </si>
  <si>
    <t>TC_043</t>
  </si>
  <si>
    <t>Watchlist</t>
  </si>
  <si>
    <t>Mở Watchlist khi chưa theo dõi cổ phiếu nào</t>
  </si>
  <si>
    <t>User mới hoặc watchlist rỗng</t>
  </si>
  <si>
    <t>1. Đăng nhập member
2. Vào Watchlist</t>
  </si>
  <si>
    <t>Hiển thị trạng thái rỗng phù hợp</t>
  </si>
  <si>
    <t>TC_044</t>
  </si>
  <si>
    <t>Thêm cổ phiếu từ thị trường vào Watchlist</t>
  </si>
  <si>
    <t>Cổ phiếu active chưa có trong watchlist</t>
  </si>
  <si>
    <t>1. Vào Thị trường
2. Mở chi tiết cổ phiếu
3. Bấm + Watchlist
4. Vào Watchlist</t>
  </si>
  <si>
    <t>Cổ phiếu vừa thêm xuất hiện trong danh sách</t>
  </si>
  <si>
    <t>TC_045</t>
  </si>
  <si>
    <t>Không thêm trùng cùng một cổ phiếu</t>
  </si>
  <si>
    <t>Cổ phiếu đã có trong watchlist</t>
  </si>
  <si>
    <t>1. Mở chi tiết cổ phiếu đã theo dõi
2. Bấm thêm lại nếu thao tác cho phép</t>
  </si>
  <si>
    <t>Không tạo dòng trùng trong Watchlist</t>
  </si>
  <si>
    <t>TC_046</t>
  </si>
  <si>
    <t>Xóa cổ phiếu khỏi Watchlist</t>
  </si>
  <si>
    <t>1. Vào Watchlist
2. Chọn cổ phiếu
3. Thực hiện bỏ theo dõi</t>
  </si>
  <si>
    <t>Cổ phiếu biến mất khỏi Watchlist</t>
  </si>
  <si>
    <t>TC_047</t>
  </si>
  <si>
    <t>Watchlist chỉ hiển thị dữ liệu của user hiện tại</t>
  </si>
  <si>
    <t>Có 2 user khác nhau</t>
  </si>
  <si>
    <t>1. User A thêm cổ phiếu A
2. Đăng xuất
3. User B đăng nhập và mở Watchlist</t>
  </si>
  <si>
    <t>User B không thấy watchlist riêng của User A</t>
  </si>
  <si>
    <t>TC_048</t>
  </si>
  <si>
    <t>Không thêm cổ phiếu inactive vào Watchlist</t>
  </si>
  <si>
    <t>Có cổ phiếu inactive</t>
  </si>
  <si>
    <t>1. Mở chi tiết cổ phiếu inactive nếu thấy
2. Thử thêm Watchlist</t>
  </si>
  <si>
    <t>Hệ thống không thêm hoặc không hiển thị cổ phiếu inactive để thêm</t>
  </si>
  <si>
    <t>TC_049</t>
  </si>
  <si>
    <t>Watchlist cập nhật giá mới theo realtime</t>
  </si>
  <si>
    <t>Có cổ phiếu trong watchlist và job giá chạy</t>
  </si>
  <si>
    <t>1. Mở Watchlist
2. Chờ giá cập nhật từ server</t>
  </si>
  <si>
    <t>Giá trong Watchlist được làm mới theo update</t>
  </si>
  <si>
    <t>TC_050</t>
  </si>
  <si>
    <t>Mở chi tiết từ Watchlist</t>
  </si>
  <si>
    <t>Watchlist có ít nhất một cổ phiếu</t>
  </si>
  <si>
    <t>1. Vào Watchlist
2. Chọn cổ phiếu
3. Bấm Xem chi tiết</t>
  </si>
  <si>
    <t>Mở đúng panel chi tiết cổ phiếu đã chọn</t>
  </si>
  <si>
    <t>TC_051</t>
  </si>
  <si>
    <t>Admin Dashboard</t>
  </si>
  <si>
    <t>Admin đăng nhập thấy menu quản trị</t>
  </si>
  <si>
    <t>Có tài khoản role Admin active</t>
  </si>
  <si>
    <t>1. Đăng nhập bằng admin
2. Quan sát sidebar</t>
  </si>
  <si>
    <t>admin</t>
  </si>
  <si>
    <t>Hiển thị các mục quản trị thay vì menu thành viên</t>
  </si>
  <si>
    <t>TC_052</t>
  </si>
  <si>
    <t>Member không truy cập được chức năng admin</t>
  </si>
  <si>
    <t>Đăng nhập tài khoản User</t>
  </si>
  <si>
    <t>1. Đăng nhập member
2. Kiểm tra không có menu quản trị hoặc gọi thao tác admin</t>
  </si>
  <si>
    <t>Không thể quản lý users/stocks bằng quyền member</t>
  </si>
  <si>
    <t>TC_053</t>
  </si>
  <si>
    <t>Dashboard hiển thị tổng user</t>
  </si>
  <si>
    <t>Admin đã đăng nhập</t>
  </si>
  <si>
    <t>1. Vào Dashboard quản trị
2. Quan sát TotalUsers</t>
  </si>
  <si>
    <t>Số lượng user hiển thị đúng theo database</t>
  </si>
  <si>
    <t>TC_054</t>
  </si>
  <si>
    <t>Dashboard hiển thị số cổ phiếu active</t>
  </si>
  <si>
    <t>1. Vào Dashboard quản trị
2. Quan sát ActiveStocks</t>
  </si>
  <si>
    <t>Số cổ phiếu active đúng với database</t>
  </si>
  <si>
    <t>TC_055</t>
  </si>
  <si>
    <t>Dashboard hiển thị connected clients</t>
  </si>
  <si>
    <t>Admin và ít nhất một client đang kết nối</t>
  </si>
  <si>
    <t>1. Mở server
2. Mở client admin
3. Vào Dashboard</t>
  </si>
  <si>
    <t>ConnectedClients lớn hơn hoặc bằng số client đang kết nối</t>
  </si>
  <si>
    <t>TC_056</t>
  </si>
  <si>
    <t>Admin Users</t>
  </si>
  <si>
    <t>Admin tải danh sách người dùng</t>
  </si>
  <si>
    <t>1. Vào Quản lý người dùng</t>
  </si>
  <si>
    <t>Grid hiển thị danh sách user mới nhất trước</t>
  </si>
  <si>
    <t>TC_057</t>
  </si>
  <si>
    <t>Admin tạo user mới thành công</t>
  </si>
  <si>
    <t>Username/email chưa tồn tại</t>
  </si>
  <si>
    <t>1. Vào Quản lý người dùng
2. Bấm Thêm
3. Nhập username/email/password/role
4. Lưu</t>
  </si>
  <si>
    <t>User mới xuất hiện trong danh sách</t>
  </si>
  <si>
    <t>TC_058</t>
  </si>
  <si>
    <t>Admin không tạo user với email sai</t>
  </si>
  <si>
    <t>1. Bấm Thêm người dùng
2. Nhập email sai định dạng
3. Lưu</t>
  </si>
  <si>
    <t>TC_059</t>
  </si>
  <si>
    <t>Admin sửa role user thành Admin</t>
  </si>
  <si>
    <t>Có user thường</t>
  </si>
  <si>
    <t>1. Chọn user
2. Bấm Chỉnh sửa
3. Đổi role Admin
4. Lưu</t>
  </si>
  <si>
    <t>User được cập nhật role Admin</t>
  </si>
  <si>
    <t>TC_060</t>
  </si>
  <si>
    <t>Admin khóa và mở khóa user</t>
  </si>
  <si>
    <t>1. Chọn user
2. Đổi trạng thái inactive
3. Lưu
4. Thử đăng nhập user đó</t>
  </si>
  <si>
    <t>User inactive không đăng nhập được; bật active thì đăng nhập lại được</t>
  </si>
  <si>
    <t>TC_061</t>
  </si>
  <si>
    <t>Admin không xóa chính tài khoản đang đăng nhập</t>
  </si>
  <si>
    <t>1. Chọn chính user admin hiện tại
2. Bấm Xóa</t>
  </si>
  <si>
    <t>Hiển thị Không thể xóa hoặc lỗi Admin cannot delete current account</t>
  </si>
  <si>
    <t>TC_062</t>
  </si>
  <si>
    <t>Admin xóa user khác thành công</t>
  </si>
  <si>
    <t>Có user test không phải admin hiện tại</t>
  </si>
  <si>
    <t>1. Chọn user test
2. Bấm Xóa
3. Xác nhận</t>
  </si>
  <si>
    <t>User bị xóa khỏi danh sách</t>
  </si>
  <si>
    <t>TC_063</t>
  </si>
  <si>
    <t>Admin Stocks</t>
  </si>
  <si>
    <t>Admin tải danh sách cổ phiếu quản trị</t>
  </si>
  <si>
    <t>1. Vào Quản lý cổ phiếu</t>
  </si>
  <si>
    <t>Grid hiển thị symbol, company, sector, price, active</t>
  </si>
  <si>
    <t>TC_064</t>
  </si>
  <si>
    <t>Admin thêm cổ phiếu mới thành công</t>
  </si>
  <si>
    <t>Symbol chưa tồn tại</t>
  </si>
  <si>
    <t>1. Bấm Thêm cổ phiếu
2. Nhập symbol, company, sector, price &gt;= 0
3. Lưu</t>
  </si>
  <si>
    <t>Cổ phiếu mới xuất hiện trong danh sách và thị trường</t>
  </si>
  <si>
    <t>TC_065</t>
  </si>
  <si>
    <t>Không thêm cổ phiếu khi symbol rỗng</t>
  </si>
  <si>
    <t>1. Bấm Thêm cổ phiếu
2. Để trống symbol
3. Nhập company và price
4. Lưu</t>
  </si>
  <si>
    <t>Hiển thị lỗi Stock symbol must contain between 1 and 20 characters</t>
  </si>
  <si>
    <t>TC_066</t>
  </si>
  <si>
    <t>Không thêm cổ phiếu khi company rỗng</t>
  </si>
  <si>
    <t>1. Bấm Thêm cổ phiếu
2. Nhập symbol
3. Để trống company
4. Lưu</t>
  </si>
  <si>
    <t>Hiển thị lỗi Company name must contain between 1 and 255 characters</t>
  </si>
  <si>
    <t>TC_067</t>
  </si>
  <si>
    <t>Không thêm cổ phiếu khi price âm</t>
  </si>
  <si>
    <t>1. Bấm Thêm cổ phiếu
2. Nhập price -1
3. Lưu</t>
  </si>
  <si>
    <t>Hiển thị lỗi Current price cannot be negative</t>
  </si>
  <si>
    <t>TC_068</t>
  </si>
  <si>
    <t>Không thêm cổ phiếu trùng symbol</t>
  </si>
  <si>
    <t>Đã có cổ phiếu FPT hoặc symbol tương tự</t>
  </si>
  <si>
    <t>1. Bấm Thêm cổ phiếu
2. Nhập symbol đã tồn tại
3. Lưu</t>
  </si>
  <si>
    <t>Hiển thị lỗi Stock symbol already exists</t>
  </si>
  <si>
    <t>TC_069</t>
  </si>
  <si>
    <t>Admin sửa thông tin cổ phiếu</t>
  </si>
  <si>
    <t>Có cổ phiếu test</t>
  </si>
  <si>
    <t>1. Chọn cổ phiếu
2. Bấm Chỉnh sửa
3. Sửa company/sector/price
4. Lưu</t>
  </si>
  <si>
    <t>Dữ liệu cổ phiếu được cập nhật trên grid</t>
  </si>
  <si>
    <t>TC_070</t>
  </si>
  <si>
    <t>Admin xóa cổ phiếu test</t>
  </si>
  <si>
    <t>Có cổ phiếu test không cần giữ</t>
  </si>
  <si>
    <t>1. Chọn cổ phiếu test
2. Bấm Xóa
3. Xác nhận</t>
  </si>
  <si>
    <t>Cổ phiếu bị xóa khỏi grid</t>
  </si>
  <si>
    <t>TC_071</t>
  </si>
  <si>
    <t>Member không thể tạo cổ phiếu qua thao tác admin</t>
  </si>
  <si>
    <t>Đăng nhập member</t>
  </si>
  <si>
    <t>1. Đăng nhập member
2. Thử truy cập hoặc gọi tạo cổ phiếu</t>
  </si>
  <si>
    <t>Hệ thống từ chối với lỗi Administrator permission is required</t>
  </si>
  <si>
    <t>TC_072</t>
  </si>
  <si>
    <t>Simulation</t>
  </si>
  <si>
    <t>Admin xem danh sách cấu hình simulation</t>
  </si>
  <si>
    <t>1. Vào Quản lý cổ phiếu hoặc Simulation
2. Bấm Cấu hình mô phỏng</t>
  </si>
  <si>
    <t>Hiển thị cấu hình simulation cho các cổ phiếu</t>
  </si>
  <si>
    <t>TC_073</t>
  </si>
  <si>
    <t>Lưu cấu hình RandomWalk hợp lệ</t>
  </si>
  <si>
    <t>Admin đang mở form simulation</t>
  </si>
  <si>
    <t>1. Chọn RandomWalk
2. Nhập min &lt; max, update speed &gt; 0, volatility 0..1
3. Lưu</t>
  </si>
  <si>
    <t>Lưu thành công và thông báo Đã lưu</t>
  </si>
  <si>
    <t>TC_074</t>
  </si>
  <si>
    <t>Không lưu khi MinPrice &gt;= MaxPrice</t>
  </si>
  <si>
    <t>1. Nhập MinPrice bằng hoặc lớn hơn MaxPrice
2. Bấm Lưu cấu hình</t>
  </si>
  <si>
    <t>Hiển thị lỗi Minimum price must be lower than maximum price</t>
  </si>
  <si>
    <t>TC_075</t>
  </si>
  <si>
    <t>Không lưu khi UpdateSpeed &lt;= 0</t>
  </si>
  <si>
    <t>1. Nhập UpdateSpeed = 0
2. Bấm Lưu cấu hình</t>
  </si>
  <si>
    <t>Hiển thị lỗi Update speed must be greater than zero</t>
  </si>
  <si>
    <t>TC_076</t>
  </si>
  <si>
    <t>Không lưu khi Volatility ngoài 0..1</t>
  </si>
  <si>
    <t>1. Nhập Volatility = 1.5
2. Bấm Lưu cấu hình</t>
  </si>
  <si>
    <t>Hiển thị lỗi Volatility must be between 0 and 1</t>
  </si>
  <si>
    <t>TC_077</t>
  </si>
  <si>
    <t>Không lưu khi JumpProbability ngoài 0..1</t>
  </si>
  <si>
    <t>1. Nhập JumpProbability = -0.1
2. Bấm Lưu cấu hình</t>
  </si>
  <si>
    <t>Hiển thị lỗi Jump probability must be between 0 and 1</t>
  </si>
  <si>
    <t>TC_078</t>
  </si>
  <si>
    <t>Network</t>
  </si>
  <si>
    <t>Client báo lỗi khi server chưa chạy</t>
  </si>
  <si>
    <t>Tắt server</t>
  </si>
  <si>
    <t>1. Mở client
2. Nhập tài khoản hợp lệ
3. Bấm Đăng nhập</t>
  </si>
  <si>
    <t>Hiển thị lỗi không kết nối được server, client không crash</t>
  </si>
  <si>
    <t>TC_079</t>
  </si>
  <si>
    <t>Server xử lý nhiều client cùng đăng nhập</t>
  </si>
  <si>
    <t>Server đang chạy</t>
  </si>
  <si>
    <t>1. Mở 2 client
2. Đăng nhập 2 tài khoản
3. Quan sát dashboard hoặc console</t>
  </si>
  <si>
    <t>Cả hai client đăng nhập được, ConnectedClients tăng phù hợp</t>
  </si>
  <si>
    <t>TC_080</t>
  </si>
  <si>
    <t>Client nhận broadcast giá sau khi đăng nhập lại</t>
  </si>
  <si>
    <t>Server và job giá đang chạy</t>
  </si>
  <si>
    <t>1. Đăng nhập member
2. Đăng xuất
3. Đăng nhập lại
4. Chờ cập nhật giá</t>
  </si>
  <si>
    <t>Client mới vẫn nhận StockPriceUpdated và bảng giá cập nhật</t>
  </si>
  <si>
    <t>Proof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</si>
</sst>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6"/>
      <color theme="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2563EB"/>
      </patternFill>
    </fill>
    <fill>
      <patternFill patternType="solid">
        <fgColor rgb="FFF3F4F6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horizontal="left" wrapText="1"/>
    </xf>
    <xf numFmtId="0" fontId="0" fillId="0" borderId="0" xfId="0" applyAlignment="1">
      <alignment horizontal="center" wrapText="1"/>
    </xf>
    <xf numFmtId="0" fontId="4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ginTestScenariosTable" displayName="LoginTestScenariosTable" ref="A2:K82">
  <tableColumns count="11">
    <tableColumn id="1" xr3:uid="{00000000-0010-0000-0000-000001000000}" name="Scenario ID"/>
    <tableColumn id="2" xr3:uid="{00000000-0010-0000-0000-000002000000}" name="Module"/>
    <tableColumn id="3" xr3:uid="{00000000-0010-0000-0000-000003000000}" name="Scenario Name"/>
    <tableColumn id="4" xr3:uid="{00000000-0010-0000-0000-000004000000}" name="Pre-condition"/>
    <tableColumn id="5" xr3:uid="{00000000-0010-0000-0000-000005000000}" name="Test Steps"/>
    <tableColumn id="6" xr3:uid="{00000000-0010-0000-0000-000006000000}" name="Username / Email"/>
    <tableColumn id="7" xr3:uid="{00000000-0010-0000-0000-000007000000}" name="Password"/>
    <tableColumn id="8" xr3:uid="{00000000-0010-0000-0000-000008000000}" name="Expected Result"/>
    <tableColumn id="9" xr3:uid="{00000000-0010-0000-0000-000009000000}" name="Actual Result"/>
    <tableColumn id="10" xr3:uid="{00000000-0010-0000-0000-00000A000000}" name="Status"/>
    <tableColumn id="11" xr3:uid="{CB9E2575-2FF1-2944-B39E-5B555E648566}" name="Proo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topLeftCell="A4" zoomScale="68" workbookViewId="0">
      <selection activeCell="K8" sqref="K8"/>
    </sheetView>
  </sheetViews>
  <sheetFormatPr baseColWidth="10" defaultColWidth="8.83203125" defaultRowHeight="15"/>
  <cols>
    <col min="1" max="1" width="16" customWidth="1"/>
    <col min="2" max="2" width="18" customWidth="1"/>
    <col min="3" max="3" width="34" customWidth="1"/>
    <col min="4" max="4" width="30" customWidth="1"/>
    <col min="5" max="5" width="42" customWidth="1"/>
    <col min="6" max="7" width="22" customWidth="1"/>
    <col min="8" max="8" width="48" customWidth="1"/>
    <col min="9" max="9" width="28" customWidth="1"/>
    <col min="10" max="10" width="14" customWidth="1"/>
    <col min="11" max="11" width="19.6640625" customWidth="1"/>
  </cols>
  <sheetData>
    <row r="1" spans="1:11" ht="37.25" customHeight="1">
      <c r="A1" s="5" t="s">
        <v>22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</row>
    <row r="2" spans="1:11" ht="29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7" t="s">
        <v>418</v>
      </c>
    </row>
    <row r="3" spans="1:11" ht="84" customHeight="1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/>
      <c r="J3" s="2" t="s">
        <v>17</v>
      </c>
    </row>
    <row r="4" spans="1:11" ht="84" customHeight="1">
      <c r="A4" s="2" t="s">
        <v>31</v>
      </c>
      <c r="B4" s="2" t="s">
        <v>24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29</v>
      </c>
      <c r="H4" s="2" t="s">
        <v>36</v>
      </c>
      <c r="I4" s="2"/>
      <c r="J4" s="2" t="s">
        <v>17</v>
      </c>
    </row>
    <row r="5" spans="1:11" ht="84" customHeight="1">
      <c r="A5" s="2" t="s">
        <v>37</v>
      </c>
      <c r="B5" s="2" t="s">
        <v>24</v>
      </c>
      <c r="C5" s="2" t="s">
        <v>38</v>
      </c>
      <c r="D5" s="2" t="s">
        <v>14</v>
      </c>
      <c r="E5" s="2" t="s">
        <v>39</v>
      </c>
      <c r="F5" s="2"/>
      <c r="G5" s="2" t="s">
        <v>29</v>
      </c>
      <c r="H5" s="2" t="s">
        <v>40</v>
      </c>
      <c r="I5" s="2"/>
      <c r="J5" s="2" t="s">
        <v>17</v>
      </c>
    </row>
    <row r="6" spans="1:11" ht="84" customHeight="1">
      <c r="A6" s="2" t="s">
        <v>41</v>
      </c>
      <c r="B6" s="2" t="s">
        <v>24</v>
      </c>
      <c r="C6" s="2" t="s">
        <v>42</v>
      </c>
      <c r="D6" s="2" t="s">
        <v>14</v>
      </c>
      <c r="E6" s="2" t="s">
        <v>43</v>
      </c>
      <c r="F6" s="2" t="s">
        <v>28</v>
      </c>
      <c r="G6" s="2"/>
      <c r="H6" s="2" t="s">
        <v>44</v>
      </c>
      <c r="I6" s="2"/>
      <c r="J6" s="2" t="s">
        <v>17</v>
      </c>
    </row>
    <row r="7" spans="1:11" ht="84" customHeight="1">
      <c r="A7" s="2" t="s">
        <v>45</v>
      </c>
      <c r="B7" s="2" t="s">
        <v>24</v>
      </c>
      <c r="C7" s="2" t="s">
        <v>12</v>
      </c>
      <c r="D7" s="2" t="s">
        <v>46</v>
      </c>
      <c r="E7" s="2" t="s">
        <v>47</v>
      </c>
      <c r="F7" s="2" t="s">
        <v>28</v>
      </c>
      <c r="G7" s="2" t="s">
        <v>48</v>
      </c>
      <c r="H7" s="2" t="s">
        <v>49</v>
      </c>
      <c r="I7" s="2"/>
      <c r="J7" s="2" t="s">
        <v>17</v>
      </c>
    </row>
    <row r="8" spans="1:11" ht="84" customHeight="1">
      <c r="A8" s="2" t="s">
        <v>50</v>
      </c>
      <c r="B8" s="2" t="s">
        <v>24</v>
      </c>
      <c r="C8" s="2" t="s">
        <v>51</v>
      </c>
      <c r="D8" s="2" t="s">
        <v>14</v>
      </c>
      <c r="E8" s="2" t="s">
        <v>52</v>
      </c>
      <c r="F8" s="2" t="s">
        <v>13</v>
      </c>
      <c r="G8" s="2" t="s">
        <v>29</v>
      </c>
      <c r="H8" s="2" t="s">
        <v>53</v>
      </c>
      <c r="I8" s="2"/>
      <c r="J8" s="2" t="s">
        <v>17</v>
      </c>
    </row>
    <row r="9" spans="1:11" ht="84" customHeight="1">
      <c r="A9" s="2" t="s">
        <v>54</v>
      </c>
      <c r="B9" s="2" t="s">
        <v>24</v>
      </c>
      <c r="C9" s="2" t="s">
        <v>55</v>
      </c>
      <c r="D9" s="2" t="s">
        <v>56</v>
      </c>
      <c r="E9" s="2" t="s">
        <v>57</v>
      </c>
      <c r="F9" s="2" t="s">
        <v>28</v>
      </c>
      <c r="G9" s="2" t="s">
        <v>29</v>
      </c>
      <c r="H9" s="2" t="s">
        <v>58</v>
      </c>
      <c r="I9" s="2"/>
      <c r="J9" s="2" t="s">
        <v>17</v>
      </c>
    </row>
    <row r="10" spans="1:11" ht="84" customHeight="1">
      <c r="A10" s="2" t="s">
        <v>59</v>
      </c>
      <c r="B10" s="2" t="s">
        <v>24</v>
      </c>
      <c r="C10" s="2" t="s">
        <v>60</v>
      </c>
      <c r="D10" s="2" t="s">
        <v>61</v>
      </c>
      <c r="E10" s="2" t="s">
        <v>62</v>
      </c>
      <c r="F10" s="2" t="s">
        <v>28</v>
      </c>
      <c r="G10" s="2" t="s">
        <v>29</v>
      </c>
      <c r="H10" s="2" t="s">
        <v>63</v>
      </c>
      <c r="I10" s="2"/>
      <c r="J10" s="2" t="s">
        <v>17</v>
      </c>
    </row>
    <row r="11" spans="1:11" ht="84" customHeight="1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71</v>
      </c>
      <c r="I11" s="2"/>
      <c r="J11" s="2" t="s">
        <v>17</v>
      </c>
    </row>
    <row r="12" spans="1:11" ht="84" customHeight="1">
      <c r="A12" s="2" t="s">
        <v>72</v>
      </c>
      <c r="B12" s="2" t="s">
        <v>65</v>
      </c>
      <c r="C12" s="2" t="s">
        <v>73</v>
      </c>
      <c r="D12" s="2" t="s">
        <v>14</v>
      </c>
      <c r="E12" s="2" t="s">
        <v>74</v>
      </c>
      <c r="F12" s="2" t="s">
        <v>75</v>
      </c>
      <c r="G12" s="2" t="s">
        <v>70</v>
      </c>
      <c r="H12" s="2" t="s">
        <v>76</v>
      </c>
      <c r="I12" s="2"/>
      <c r="J12" s="2" t="s">
        <v>17</v>
      </c>
    </row>
    <row r="13" spans="1:11" ht="84" customHeight="1">
      <c r="A13" s="2" t="s">
        <v>77</v>
      </c>
      <c r="B13" s="2" t="s">
        <v>65</v>
      </c>
      <c r="C13" s="2" t="s">
        <v>78</v>
      </c>
      <c r="D13" s="2" t="s">
        <v>14</v>
      </c>
      <c r="E13" s="2" t="s">
        <v>79</v>
      </c>
      <c r="F13" s="2" t="s">
        <v>80</v>
      </c>
      <c r="G13" s="2" t="s">
        <v>70</v>
      </c>
      <c r="H13" s="2" t="s">
        <v>81</v>
      </c>
      <c r="I13" s="2"/>
      <c r="J13" s="2" t="s">
        <v>11</v>
      </c>
    </row>
    <row r="14" spans="1:11" ht="84" customHeight="1">
      <c r="A14" s="2" t="s">
        <v>82</v>
      </c>
      <c r="B14" s="2" t="s">
        <v>65</v>
      </c>
      <c r="C14" s="2" t="s">
        <v>83</v>
      </c>
      <c r="D14" s="2" t="s">
        <v>14</v>
      </c>
      <c r="E14" s="2" t="s">
        <v>84</v>
      </c>
      <c r="F14" s="2" t="s">
        <v>85</v>
      </c>
      <c r="G14" s="2" t="s">
        <v>86</v>
      </c>
      <c r="H14" s="2" t="s">
        <v>87</v>
      </c>
      <c r="I14" s="2"/>
      <c r="J14" s="2" t="s">
        <v>11</v>
      </c>
    </row>
    <row r="15" spans="1:11" ht="84" customHeight="1">
      <c r="A15" s="2" t="s">
        <v>88</v>
      </c>
      <c r="B15" s="2" t="s">
        <v>65</v>
      </c>
      <c r="C15" s="2" t="s">
        <v>89</v>
      </c>
      <c r="D15" s="2" t="s">
        <v>90</v>
      </c>
      <c r="E15" s="2" t="s">
        <v>91</v>
      </c>
      <c r="F15" s="2" t="s">
        <v>28</v>
      </c>
      <c r="G15" s="2" t="s">
        <v>29</v>
      </c>
      <c r="H15" s="2" t="s">
        <v>92</v>
      </c>
      <c r="I15" s="2"/>
      <c r="J15" s="2" t="s">
        <v>11</v>
      </c>
    </row>
    <row r="16" spans="1:11" ht="84" customHeight="1">
      <c r="A16" s="2" t="s">
        <v>93</v>
      </c>
      <c r="B16" s="2" t="s">
        <v>65</v>
      </c>
      <c r="C16" s="2" t="s">
        <v>94</v>
      </c>
      <c r="D16" s="2" t="s">
        <v>95</v>
      </c>
      <c r="E16" s="2" t="s">
        <v>96</v>
      </c>
      <c r="F16" s="2" t="s">
        <v>97</v>
      </c>
      <c r="G16" s="2" t="s">
        <v>29</v>
      </c>
      <c r="H16" s="2" t="s">
        <v>98</v>
      </c>
      <c r="I16" s="2"/>
      <c r="J16" s="2" t="s">
        <v>11</v>
      </c>
    </row>
    <row r="17" spans="1:10" ht="84" customHeight="1">
      <c r="A17" s="2" t="s">
        <v>99</v>
      </c>
      <c r="B17" s="2" t="s">
        <v>65</v>
      </c>
      <c r="C17" s="2" t="s">
        <v>100</v>
      </c>
      <c r="D17" s="2" t="s">
        <v>101</v>
      </c>
      <c r="E17" s="2" t="s">
        <v>102</v>
      </c>
      <c r="F17" s="2"/>
      <c r="G17" s="2"/>
      <c r="H17" s="2" t="s">
        <v>103</v>
      </c>
      <c r="I17" s="2"/>
      <c r="J17" s="2" t="s">
        <v>11</v>
      </c>
    </row>
    <row r="18" spans="1:10" ht="84" customHeight="1">
      <c r="A18" s="2" t="s">
        <v>104</v>
      </c>
      <c r="B18" s="2" t="s">
        <v>65</v>
      </c>
      <c r="C18" s="2" t="s">
        <v>105</v>
      </c>
      <c r="D18" s="2" t="s">
        <v>106</v>
      </c>
      <c r="E18" s="2" t="s">
        <v>107</v>
      </c>
      <c r="F18" s="2" t="s">
        <v>108</v>
      </c>
      <c r="G18" s="2" t="s">
        <v>29</v>
      </c>
      <c r="H18" s="2" t="s">
        <v>109</v>
      </c>
      <c r="I18" s="2"/>
      <c r="J18" s="2" t="s">
        <v>11</v>
      </c>
    </row>
    <row r="19" spans="1:10" ht="84" customHeight="1">
      <c r="A19" s="2" t="s">
        <v>110</v>
      </c>
      <c r="B19" s="2" t="s">
        <v>111</v>
      </c>
      <c r="C19" s="2" t="s">
        <v>112</v>
      </c>
      <c r="D19" s="2" t="s">
        <v>113</v>
      </c>
      <c r="E19" s="2" t="s">
        <v>114</v>
      </c>
      <c r="F19" s="2" t="s">
        <v>28</v>
      </c>
      <c r="G19" s="2" t="s">
        <v>29</v>
      </c>
      <c r="H19" s="2" t="s">
        <v>115</v>
      </c>
      <c r="I19" s="2"/>
      <c r="J19" s="2" t="s">
        <v>11</v>
      </c>
    </row>
    <row r="20" spans="1:10" ht="84" customHeight="1">
      <c r="A20" s="2" t="s">
        <v>116</v>
      </c>
      <c r="B20" s="2" t="s">
        <v>111</v>
      </c>
      <c r="C20" s="2" t="s">
        <v>117</v>
      </c>
      <c r="D20" s="2" t="s">
        <v>113</v>
      </c>
      <c r="E20" s="2" t="s">
        <v>118</v>
      </c>
      <c r="F20" s="2" t="s">
        <v>119</v>
      </c>
      <c r="G20" s="2" t="s">
        <v>29</v>
      </c>
      <c r="H20" s="2" t="s">
        <v>120</v>
      </c>
      <c r="I20" s="2"/>
      <c r="J20" s="2" t="s">
        <v>11</v>
      </c>
    </row>
    <row r="21" spans="1:10" ht="84" customHeight="1">
      <c r="A21" s="2" t="s">
        <v>121</v>
      </c>
      <c r="B21" s="2" t="s">
        <v>111</v>
      </c>
      <c r="C21" s="2" t="s">
        <v>122</v>
      </c>
      <c r="D21" s="2" t="s">
        <v>113</v>
      </c>
      <c r="E21" s="2" t="s">
        <v>123</v>
      </c>
      <c r="F21" s="2" t="s">
        <v>75</v>
      </c>
      <c r="G21" s="2" t="s">
        <v>29</v>
      </c>
      <c r="H21" s="2" t="s">
        <v>76</v>
      </c>
      <c r="I21" s="2"/>
      <c r="J21" s="2" t="s">
        <v>11</v>
      </c>
    </row>
    <row r="22" spans="1:10" ht="84" customHeight="1">
      <c r="A22" s="2" t="s">
        <v>124</v>
      </c>
      <c r="B22" s="2" t="s">
        <v>111</v>
      </c>
      <c r="C22" s="2" t="s">
        <v>125</v>
      </c>
      <c r="D22" s="2" t="s">
        <v>113</v>
      </c>
      <c r="E22" s="2" t="s">
        <v>126</v>
      </c>
      <c r="F22" s="2" t="s">
        <v>28</v>
      </c>
      <c r="G22" s="2" t="s">
        <v>29</v>
      </c>
      <c r="H22" s="2" t="s">
        <v>81</v>
      </c>
      <c r="I22" s="2"/>
      <c r="J22" s="2" t="s">
        <v>11</v>
      </c>
    </row>
    <row r="23" spans="1:10" ht="84" customHeight="1">
      <c r="A23" s="2" t="s">
        <v>127</v>
      </c>
      <c r="B23" s="2" t="s">
        <v>111</v>
      </c>
      <c r="C23" s="2" t="s">
        <v>128</v>
      </c>
      <c r="D23" s="2" t="s">
        <v>129</v>
      </c>
      <c r="E23" s="2" t="s">
        <v>130</v>
      </c>
      <c r="F23" s="2" t="s">
        <v>28</v>
      </c>
      <c r="G23" s="2" t="s">
        <v>29</v>
      </c>
      <c r="H23" s="2" t="s">
        <v>92</v>
      </c>
      <c r="I23" s="2"/>
      <c r="J23" s="2" t="s">
        <v>11</v>
      </c>
    </row>
    <row r="24" spans="1:10" ht="84" customHeight="1">
      <c r="A24" s="2" t="s">
        <v>131</v>
      </c>
      <c r="B24" s="2" t="s">
        <v>111</v>
      </c>
      <c r="C24" s="2" t="s">
        <v>132</v>
      </c>
      <c r="D24" s="2" t="s">
        <v>133</v>
      </c>
      <c r="E24" s="2" t="s">
        <v>134</v>
      </c>
      <c r="F24" s="2" t="s">
        <v>28</v>
      </c>
      <c r="G24" s="2" t="s">
        <v>29</v>
      </c>
      <c r="H24" s="2" t="s">
        <v>135</v>
      </c>
      <c r="I24" s="2"/>
      <c r="J24" s="2" t="s">
        <v>11</v>
      </c>
    </row>
    <row r="25" spans="1:10" ht="84" customHeight="1">
      <c r="A25" s="2" t="s">
        <v>136</v>
      </c>
      <c r="B25" s="2" t="s">
        <v>137</v>
      </c>
      <c r="C25" s="2" t="s">
        <v>138</v>
      </c>
      <c r="D25" s="2" t="s">
        <v>139</v>
      </c>
      <c r="E25" s="2" t="s">
        <v>140</v>
      </c>
      <c r="F25" s="2" t="s">
        <v>28</v>
      </c>
      <c r="G25" s="2" t="s">
        <v>29</v>
      </c>
      <c r="H25" s="2" t="s">
        <v>141</v>
      </c>
      <c r="I25" s="2"/>
      <c r="J25" s="2" t="s">
        <v>11</v>
      </c>
    </row>
    <row r="26" spans="1:10" ht="84" customHeight="1">
      <c r="A26" s="2" t="s">
        <v>142</v>
      </c>
      <c r="B26" s="2" t="s">
        <v>137</v>
      </c>
      <c r="C26" s="2" t="s">
        <v>143</v>
      </c>
      <c r="D26" s="2" t="s">
        <v>144</v>
      </c>
      <c r="E26" s="2" t="s">
        <v>145</v>
      </c>
      <c r="F26" s="2" t="s">
        <v>28</v>
      </c>
      <c r="G26" s="2" t="s">
        <v>29</v>
      </c>
      <c r="H26" s="2" t="s">
        <v>146</v>
      </c>
      <c r="I26" s="2"/>
      <c r="J26" s="2" t="s">
        <v>11</v>
      </c>
    </row>
    <row r="27" spans="1:10" ht="84" customHeight="1">
      <c r="A27" s="2" t="s">
        <v>147</v>
      </c>
      <c r="B27" s="2" t="s">
        <v>137</v>
      </c>
      <c r="C27" s="2" t="s">
        <v>148</v>
      </c>
      <c r="D27" s="2" t="s">
        <v>149</v>
      </c>
      <c r="E27" s="2" t="s">
        <v>150</v>
      </c>
      <c r="F27" s="2" t="s">
        <v>28</v>
      </c>
      <c r="G27" s="2" t="s">
        <v>29</v>
      </c>
      <c r="H27" s="2" t="s">
        <v>151</v>
      </c>
      <c r="I27" s="2"/>
      <c r="J27" s="2" t="s">
        <v>11</v>
      </c>
    </row>
    <row r="28" spans="1:10" ht="84" customHeight="1">
      <c r="A28" s="2" t="s">
        <v>152</v>
      </c>
      <c r="B28" s="2" t="s">
        <v>137</v>
      </c>
      <c r="C28" s="2" t="s">
        <v>153</v>
      </c>
      <c r="D28" s="2" t="s">
        <v>154</v>
      </c>
      <c r="E28" s="2" t="s">
        <v>155</v>
      </c>
      <c r="F28" s="2" t="s">
        <v>28</v>
      </c>
      <c r="G28" s="2" t="s">
        <v>29</v>
      </c>
      <c r="H28" s="2" t="s">
        <v>156</v>
      </c>
      <c r="I28" s="2"/>
      <c r="J28" s="2" t="s">
        <v>11</v>
      </c>
    </row>
    <row r="29" spans="1:10" ht="84" customHeight="1">
      <c r="A29" s="2" t="s">
        <v>157</v>
      </c>
      <c r="B29" s="2" t="s">
        <v>137</v>
      </c>
      <c r="C29" s="2" t="s">
        <v>158</v>
      </c>
      <c r="D29" s="2" t="s">
        <v>159</v>
      </c>
      <c r="E29" s="2" t="s">
        <v>160</v>
      </c>
      <c r="F29" s="2" t="s">
        <v>28</v>
      </c>
      <c r="G29" s="2" t="s">
        <v>29</v>
      </c>
      <c r="H29" s="2" t="s">
        <v>161</v>
      </c>
      <c r="I29" s="2"/>
      <c r="J29" s="2" t="s">
        <v>11</v>
      </c>
    </row>
    <row r="30" spans="1:10" ht="84" customHeight="1">
      <c r="A30" s="2" t="s">
        <v>162</v>
      </c>
      <c r="B30" s="2" t="s">
        <v>137</v>
      </c>
      <c r="C30" s="2" t="s">
        <v>163</v>
      </c>
      <c r="D30" s="2" t="s">
        <v>164</v>
      </c>
      <c r="E30" s="2" t="s">
        <v>165</v>
      </c>
      <c r="F30" s="2" t="s">
        <v>28</v>
      </c>
      <c r="G30" s="2" t="s">
        <v>29</v>
      </c>
      <c r="H30" s="2" t="s">
        <v>166</v>
      </c>
      <c r="I30" s="2"/>
      <c r="J30" s="2" t="s">
        <v>11</v>
      </c>
    </row>
    <row r="31" spans="1:10" ht="84" customHeight="1">
      <c r="A31" s="2" t="s">
        <v>167</v>
      </c>
      <c r="B31" s="2" t="s">
        <v>137</v>
      </c>
      <c r="C31" s="2" t="s">
        <v>168</v>
      </c>
      <c r="D31" s="2" t="s">
        <v>169</v>
      </c>
      <c r="E31" s="2" t="s">
        <v>170</v>
      </c>
      <c r="F31" s="2" t="s">
        <v>28</v>
      </c>
      <c r="G31" s="2" t="s">
        <v>29</v>
      </c>
      <c r="H31" s="2" t="s">
        <v>171</v>
      </c>
      <c r="I31" s="2"/>
      <c r="J31" s="2" t="s">
        <v>11</v>
      </c>
    </row>
    <row r="32" spans="1:10" ht="84" customHeight="1">
      <c r="A32" s="2" t="s">
        <v>172</v>
      </c>
      <c r="B32" s="2" t="s">
        <v>137</v>
      </c>
      <c r="C32" s="2" t="s">
        <v>173</v>
      </c>
      <c r="D32" s="2" t="s">
        <v>174</v>
      </c>
      <c r="E32" s="2" t="s">
        <v>175</v>
      </c>
      <c r="F32" s="2" t="s">
        <v>28</v>
      </c>
      <c r="G32" s="2" t="s">
        <v>29</v>
      </c>
      <c r="H32" s="2" t="s">
        <v>176</v>
      </c>
      <c r="I32" s="2"/>
      <c r="J32" s="2" t="s">
        <v>11</v>
      </c>
    </row>
    <row r="33" spans="1:10" ht="84" customHeight="1">
      <c r="A33" s="2" t="s">
        <v>177</v>
      </c>
      <c r="B33" s="2" t="s">
        <v>137</v>
      </c>
      <c r="C33" s="2" t="s">
        <v>178</v>
      </c>
      <c r="D33" s="2" t="s">
        <v>179</v>
      </c>
      <c r="E33" s="2" t="s">
        <v>180</v>
      </c>
      <c r="F33" s="2" t="s">
        <v>28</v>
      </c>
      <c r="G33" s="2" t="s">
        <v>29</v>
      </c>
      <c r="H33" s="2" t="s">
        <v>181</v>
      </c>
      <c r="I33" s="2"/>
      <c r="J33" s="2" t="s">
        <v>11</v>
      </c>
    </row>
    <row r="34" spans="1:10" ht="84" customHeight="1">
      <c r="A34" s="2" t="s">
        <v>182</v>
      </c>
      <c r="B34" s="2" t="s">
        <v>137</v>
      </c>
      <c r="C34" s="2" t="s">
        <v>183</v>
      </c>
      <c r="D34" s="2" t="s">
        <v>133</v>
      </c>
      <c r="E34" s="2" t="s">
        <v>184</v>
      </c>
      <c r="F34" s="2" t="s">
        <v>28</v>
      </c>
      <c r="G34" s="2" t="s">
        <v>29</v>
      </c>
      <c r="H34" s="2" t="s">
        <v>185</v>
      </c>
      <c r="I34" s="2"/>
      <c r="J34" s="2" t="s">
        <v>11</v>
      </c>
    </row>
    <row r="35" spans="1:10" ht="84" customHeight="1">
      <c r="A35" s="2" t="s">
        <v>186</v>
      </c>
      <c r="B35" s="2" t="s">
        <v>187</v>
      </c>
      <c r="C35" s="2" t="s">
        <v>188</v>
      </c>
      <c r="D35" s="2" t="s">
        <v>189</v>
      </c>
      <c r="E35" s="2" t="s">
        <v>190</v>
      </c>
      <c r="F35" s="2" t="s">
        <v>28</v>
      </c>
      <c r="G35" s="2" t="s">
        <v>29</v>
      </c>
      <c r="H35" s="2" t="s">
        <v>191</v>
      </c>
      <c r="I35" s="2"/>
      <c r="J35" s="2" t="s">
        <v>11</v>
      </c>
    </row>
    <row r="36" spans="1:10" ht="84" customHeight="1">
      <c r="A36" s="2" t="s">
        <v>192</v>
      </c>
      <c r="B36" s="2" t="s">
        <v>187</v>
      </c>
      <c r="C36" s="2" t="s">
        <v>193</v>
      </c>
      <c r="D36" s="2" t="s">
        <v>194</v>
      </c>
      <c r="E36" s="2" t="s">
        <v>195</v>
      </c>
      <c r="F36" s="2" t="s">
        <v>28</v>
      </c>
      <c r="G36" s="2" t="s">
        <v>29</v>
      </c>
      <c r="H36" s="2" t="s">
        <v>196</v>
      </c>
      <c r="I36" s="2"/>
      <c r="J36" s="2" t="s">
        <v>11</v>
      </c>
    </row>
    <row r="37" spans="1:10" ht="84" customHeight="1">
      <c r="A37" s="2" t="s">
        <v>197</v>
      </c>
      <c r="B37" s="2" t="s">
        <v>187</v>
      </c>
      <c r="C37" s="2" t="s">
        <v>198</v>
      </c>
      <c r="D37" s="2" t="s">
        <v>199</v>
      </c>
      <c r="E37" s="2" t="s">
        <v>200</v>
      </c>
      <c r="F37" s="2" t="s">
        <v>28</v>
      </c>
      <c r="G37" s="2" t="s">
        <v>29</v>
      </c>
      <c r="H37" s="2" t="s">
        <v>201</v>
      </c>
      <c r="I37" s="2"/>
      <c r="J37" s="2" t="s">
        <v>11</v>
      </c>
    </row>
    <row r="38" spans="1:10" ht="84" customHeight="1">
      <c r="A38" s="2" t="s">
        <v>202</v>
      </c>
      <c r="B38" s="2" t="s">
        <v>203</v>
      </c>
      <c r="C38" s="2" t="s">
        <v>204</v>
      </c>
      <c r="D38" s="2" t="s">
        <v>205</v>
      </c>
      <c r="E38" s="2" t="s">
        <v>206</v>
      </c>
      <c r="F38" s="2" t="s">
        <v>28</v>
      </c>
      <c r="G38" s="2" t="s">
        <v>29</v>
      </c>
      <c r="H38" s="2" t="s">
        <v>207</v>
      </c>
      <c r="I38" s="2"/>
      <c r="J38" s="2" t="s">
        <v>11</v>
      </c>
    </row>
    <row r="39" spans="1:10" ht="84" customHeight="1">
      <c r="A39" s="2" t="s">
        <v>208</v>
      </c>
      <c r="B39" s="2" t="s">
        <v>203</v>
      </c>
      <c r="C39" s="2" t="s">
        <v>209</v>
      </c>
      <c r="D39" s="2" t="s">
        <v>210</v>
      </c>
      <c r="E39" s="2" t="s">
        <v>211</v>
      </c>
      <c r="F39" s="2" t="s">
        <v>28</v>
      </c>
      <c r="G39" s="2" t="s">
        <v>29</v>
      </c>
      <c r="H39" s="2" t="s">
        <v>212</v>
      </c>
      <c r="I39" s="2"/>
      <c r="J39" s="2" t="s">
        <v>11</v>
      </c>
    </row>
    <row r="40" spans="1:10" ht="84" customHeight="1">
      <c r="A40" s="2" t="s">
        <v>213</v>
      </c>
      <c r="B40" s="2" t="s">
        <v>203</v>
      </c>
      <c r="C40" s="2" t="s">
        <v>214</v>
      </c>
      <c r="D40" s="2" t="s">
        <v>215</v>
      </c>
      <c r="E40" s="2" t="s">
        <v>216</v>
      </c>
      <c r="F40" s="2" t="s">
        <v>28</v>
      </c>
      <c r="G40" s="2" t="s">
        <v>29</v>
      </c>
      <c r="H40" s="2" t="s">
        <v>217</v>
      </c>
      <c r="I40" s="2"/>
      <c r="J40" s="2" t="s">
        <v>11</v>
      </c>
    </row>
    <row r="41" spans="1:10" ht="84" customHeight="1">
      <c r="A41" s="2" t="s">
        <v>218</v>
      </c>
      <c r="B41" s="2" t="s">
        <v>203</v>
      </c>
      <c r="C41" s="2" t="s">
        <v>219</v>
      </c>
      <c r="D41" s="2" t="s">
        <v>220</v>
      </c>
      <c r="E41" s="2" t="s">
        <v>221</v>
      </c>
      <c r="F41" s="2" t="s">
        <v>28</v>
      </c>
      <c r="G41" s="2" t="s">
        <v>29</v>
      </c>
      <c r="H41" s="2" t="s">
        <v>222</v>
      </c>
      <c r="I41" s="2"/>
      <c r="J41" s="2" t="s">
        <v>11</v>
      </c>
    </row>
    <row r="42" spans="1:10" ht="84" customHeight="1">
      <c r="A42" s="2" t="s">
        <v>223</v>
      </c>
      <c r="B42" s="2" t="s">
        <v>203</v>
      </c>
      <c r="C42" s="2" t="s">
        <v>224</v>
      </c>
      <c r="D42" s="2" t="s">
        <v>220</v>
      </c>
      <c r="E42" s="2" t="s">
        <v>225</v>
      </c>
      <c r="F42" s="2" t="s">
        <v>28</v>
      </c>
      <c r="G42" s="2" t="s">
        <v>29</v>
      </c>
      <c r="H42" s="2" t="s">
        <v>226</v>
      </c>
      <c r="I42" s="2"/>
      <c r="J42" s="2" t="s">
        <v>11</v>
      </c>
    </row>
    <row r="43" spans="1:10" ht="84" customHeight="1">
      <c r="A43" s="2" t="s">
        <v>227</v>
      </c>
      <c r="B43" s="2" t="s">
        <v>203</v>
      </c>
      <c r="C43" s="2" t="s">
        <v>228</v>
      </c>
      <c r="D43" s="2" t="s">
        <v>229</v>
      </c>
      <c r="E43" s="2" t="s">
        <v>230</v>
      </c>
      <c r="F43" s="2" t="s">
        <v>28</v>
      </c>
      <c r="G43" s="2" t="s">
        <v>29</v>
      </c>
      <c r="H43" s="2" t="s">
        <v>231</v>
      </c>
      <c r="I43" s="2"/>
      <c r="J43" s="2" t="s">
        <v>11</v>
      </c>
    </row>
    <row r="44" spans="1:10" ht="84" customHeight="1">
      <c r="A44" s="2" t="s">
        <v>232</v>
      </c>
      <c r="B44" s="2" t="s">
        <v>203</v>
      </c>
      <c r="C44" s="2" t="s">
        <v>233</v>
      </c>
      <c r="D44" s="2" t="s">
        <v>234</v>
      </c>
      <c r="E44" s="2" t="s">
        <v>235</v>
      </c>
      <c r="F44" s="2" t="s">
        <v>28</v>
      </c>
      <c r="G44" s="2" t="s">
        <v>29</v>
      </c>
      <c r="H44" s="2" t="s">
        <v>236</v>
      </c>
      <c r="I44" s="2"/>
      <c r="J44" s="2" t="s">
        <v>11</v>
      </c>
    </row>
    <row r="45" spans="1:10" ht="84" customHeight="1">
      <c r="A45" s="2" t="s">
        <v>237</v>
      </c>
      <c r="B45" s="2" t="s">
        <v>238</v>
      </c>
      <c r="C45" s="2" t="s">
        <v>239</v>
      </c>
      <c r="D45" s="2" t="s">
        <v>240</v>
      </c>
      <c r="E45" s="2" t="s">
        <v>241</v>
      </c>
      <c r="F45" s="2" t="s">
        <v>28</v>
      </c>
      <c r="G45" s="2" t="s">
        <v>29</v>
      </c>
      <c r="H45" s="2" t="s">
        <v>242</v>
      </c>
      <c r="I45" s="2"/>
      <c r="J45" s="2" t="s">
        <v>11</v>
      </c>
    </row>
    <row r="46" spans="1:10" ht="84" customHeight="1">
      <c r="A46" s="2" t="s">
        <v>243</v>
      </c>
      <c r="B46" s="2" t="s">
        <v>238</v>
      </c>
      <c r="C46" s="2" t="s">
        <v>244</v>
      </c>
      <c r="D46" s="2" t="s">
        <v>245</v>
      </c>
      <c r="E46" s="2" t="s">
        <v>246</v>
      </c>
      <c r="F46" s="2" t="s">
        <v>28</v>
      </c>
      <c r="G46" s="2" t="s">
        <v>29</v>
      </c>
      <c r="H46" s="2" t="s">
        <v>247</v>
      </c>
      <c r="I46" s="2"/>
      <c r="J46" s="2" t="s">
        <v>11</v>
      </c>
    </row>
    <row r="47" spans="1:10" ht="84" customHeight="1">
      <c r="A47" s="2" t="s">
        <v>248</v>
      </c>
      <c r="B47" s="2" t="s">
        <v>238</v>
      </c>
      <c r="C47" s="2" t="s">
        <v>249</v>
      </c>
      <c r="D47" s="2" t="s">
        <v>250</v>
      </c>
      <c r="E47" s="2" t="s">
        <v>251</v>
      </c>
      <c r="F47" s="2" t="s">
        <v>28</v>
      </c>
      <c r="G47" s="2" t="s">
        <v>29</v>
      </c>
      <c r="H47" s="2" t="s">
        <v>252</v>
      </c>
      <c r="I47" s="2"/>
      <c r="J47" s="2" t="s">
        <v>11</v>
      </c>
    </row>
    <row r="48" spans="1:10" ht="84" customHeight="1">
      <c r="A48" s="2" t="s">
        <v>253</v>
      </c>
      <c r="B48" s="2" t="s">
        <v>238</v>
      </c>
      <c r="C48" s="2" t="s">
        <v>254</v>
      </c>
      <c r="D48" s="2" t="s">
        <v>199</v>
      </c>
      <c r="E48" s="2" t="s">
        <v>255</v>
      </c>
      <c r="F48" s="2" t="s">
        <v>28</v>
      </c>
      <c r="G48" s="2" t="s">
        <v>29</v>
      </c>
      <c r="H48" s="2" t="s">
        <v>256</v>
      </c>
      <c r="I48" s="2"/>
      <c r="J48" s="2" t="s">
        <v>11</v>
      </c>
    </row>
    <row r="49" spans="1:10" ht="84" customHeight="1">
      <c r="A49" s="2" t="s">
        <v>257</v>
      </c>
      <c r="B49" s="2" t="s">
        <v>238</v>
      </c>
      <c r="C49" s="2" t="s">
        <v>258</v>
      </c>
      <c r="D49" s="2" t="s">
        <v>259</v>
      </c>
      <c r="E49" s="2" t="s">
        <v>260</v>
      </c>
      <c r="F49" s="2" t="s">
        <v>28</v>
      </c>
      <c r="G49" s="2" t="s">
        <v>29</v>
      </c>
      <c r="H49" s="2" t="s">
        <v>261</v>
      </c>
      <c r="I49" s="2"/>
      <c r="J49" s="2" t="s">
        <v>11</v>
      </c>
    </row>
    <row r="50" spans="1:10" ht="84" customHeight="1">
      <c r="A50" s="2" t="s">
        <v>262</v>
      </c>
      <c r="B50" s="2" t="s">
        <v>238</v>
      </c>
      <c r="C50" s="2" t="s">
        <v>263</v>
      </c>
      <c r="D50" s="2" t="s">
        <v>264</v>
      </c>
      <c r="E50" s="2" t="s">
        <v>265</v>
      </c>
      <c r="F50" s="2" t="s">
        <v>28</v>
      </c>
      <c r="G50" s="2" t="s">
        <v>29</v>
      </c>
      <c r="H50" s="2" t="s">
        <v>266</v>
      </c>
      <c r="I50" s="2"/>
      <c r="J50" s="2" t="s">
        <v>11</v>
      </c>
    </row>
    <row r="51" spans="1:10" ht="84" customHeight="1">
      <c r="A51" s="2" t="s">
        <v>267</v>
      </c>
      <c r="B51" s="2" t="s">
        <v>238</v>
      </c>
      <c r="C51" s="2" t="s">
        <v>268</v>
      </c>
      <c r="D51" s="2" t="s">
        <v>269</v>
      </c>
      <c r="E51" s="2" t="s">
        <v>270</v>
      </c>
      <c r="F51" s="2" t="s">
        <v>28</v>
      </c>
      <c r="G51" s="2" t="s">
        <v>29</v>
      </c>
      <c r="H51" s="2" t="s">
        <v>271</v>
      </c>
      <c r="I51" s="2"/>
      <c r="J51" s="2" t="s">
        <v>11</v>
      </c>
    </row>
    <row r="52" spans="1:10" ht="84" customHeight="1">
      <c r="A52" s="2" t="s">
        <v>272</v>
      </c>
      <c r="B52" s="2" t="s">
        <v>238</v>
      </c>
      <c r="C52" s="2" t="s">
        <v>273</v>
      </c>
      <c r="D52" s="2" t="s">
        <v>274</v>
      </c>
      <c r="E52" s="2" t="s">
        <v>275</v>
      </c>
      <c r="F52" s="2" t="s">
        <v>28</v>
      </c>
      <c r="G52" s="2" t="s">
        <v>29</v>
      </c>
      <c r="H52" s="2" t="s">
        <v>276</v>
      </c>
      <c r="I52" s="2"/>
      <c r="J52" s="2" t="s">
        <v>11</v>
      </c>
    </row>
    <row r="53" spans="1:10" ht="84" customHeight="1">
      <c r="A53" s="2" t="s">
        <v>277</v>
      </c>
      <c r="B53" s="2" t="s">
        <v>278</v>
      </c>
      <c r="C53" s="2" t="s">
        <v>279</v>
      </c>
      <c r="D53" s="2" t="s">
        <v>280</v>
      </c>
      <c r="E53" s="2" t="s">
        <v>281</v>
      </c>
      <c r="F53" s="2" t="s">
        <v>282</v>
      </c>
      <c r="G53" s="2" t="s">
        <v>29</v>
      </c>
      <c r="H53" s="2" t="s">
        <v>283</v>
      </c>
      <c r="I53" s="2"/>
      <c r="J53" s="2" t="s">
        <v>11</v>
      </c>
    </row>
    <row r="54" spans="1:10" ht="84" customHeight="1">
      <c r="A54" s="2" t="s">
        <v>284</v>
      </c>
      <c r="B54" s="2" t="s">
        <v>278</v>
      </c>
      <c r="C54" s="2" t="s">
        <v>285</v>
      </c>
      <c r="D54" s="2" t="s">
        <v>286</v>
      </c>
      <c r="E54" s="2" t="s">
        <v>287</v>
      </c>
      <c r="F54" s="2" t="s">
        <v>28</v>
      </c>
      <c r="G54" s="2" t="s">
        <v>29</v>
      </c>
      <c r="H54" s="2" t="s">
        <v>288</v>
      </c>
      <c r="I54" s="2"/>
      <c r="J54" s="2" t="s">
        <v>11</v>
      </c>
    </row>
    <row r="55" spans="1:10" ht="84" customHeight="1">
      <c r="A55" s="2" t="s">
        <v>289</v>
      </c>
      <c r="B55" s="2" t="s">
        <v>278</v>
      </c>
      <c r="C55" s="2" t="s">
        <v>290</v>
      </c>
      <c r="D55" s="2" t="s">
        <v>291</v>
      </c>
      <c r="E55" s="2" t="s">
        <v>292</v>
      </c>
      <c r="F55" s="2" t="s">
        <v>282</v>
      </c>
      <c r="G55" s="2" t="s">
        <v>29</v>
      </c>
      <c r="H55" s="2" t="s">
        <v>293</v>
      </c>
      <c r="I55" s="2"/>
      <c r="J55" s="2" t="s">
        <v>11</v>
      </c>
    </row>
    <row r="56" spans="1:10" ht="84" customHeight="1">
      <c r="A56" s="2" t="s">
        <v>294</v>
      </c>
      <c r="B56" s="2" t="s">
        <v>278</v>
      </c>
      <c r="C56" s="2" t="s">
        <v>295</v>
      </c>
      <c r="D56" s="2" t="s">
        <v>291</v>
      </c>
      <c r="E56" s="2" t="s">
        <v>296</v>
      </c>
      <c r="F56" s="2" t="s">
        <v>282</v>
      </c>
      <c r="G56" s="2" t="s">
        <v>29</v>
      </c>
      <c r="H56" s="2" t="s">
        <v>297</v>
      </c>
      <c r="I56" s="2"/>
      <c r="J56" s="2" t="s">
        <v>11</v>
      </c>
    </row>
    <row r="57" spans="1:10" ht="84" customHeight="1">
      <c r="A57" s="2" t="s">
        <v>298</v>
      </c>
      <c r="B57" s="2" t="s">
        <v>278</v>
      </c>
      <c r="C57" s="2" t="s">
        <v>299</v>
      </c>
      <c r="D57" s="2" t="s">
        <v>300</v>
      </c>
      <c r="E57" s="2" t="s">
        <v>301</v>
      </c>
      <c r="F57" s="2" t="s">
        <v>282</v>
      </c>
      <c r="G57" s="2" t="s">
        <v>29</v>
      </c>
      <c r="H57" s="2" t="s">
        <v>302</v>
      </c>
      <c r="I57" s="2"/>
      <c r="J57" s="2" t="s">
        <v>11</v>
      </c>
    </row>
    <row r="58" spans="1:10" ht="84" customHeight="1">
      <c r="A58" s="2" t="s">
        <v>303</v>
      </c>
      <c r="B58" s="2" t="s">
        <v>304</v>
      </c>
      <c r="C58" s="2" t="s">
        <v>305</v>
      </c>
      <c r="D58" s="2" t="s">
        <v>291</v>
      </c>
      <c r="E58" s="2" t="s">
        <v>306</v>
      </c>
      <c r="F58" s="2" t="s">
        <v>282</v>
      </c>
      <c r="G58" s="2" t="s">
        <v>29</v>
      </c>
      <c r="H58" s="2" t="s">
        <v>307</v>
      </c>
      <c r="I58" s="2"/>
      <c r="J58" s="2" t="s">
        <v>11</v>
      </c>
    </row>
    <row r="59" spans="1:10" ht="84" customHeight="1">
      <c r="A59" s="2" t="s">
        <v>308</v>
      </c>
      <c r="B59" s="2" t="s">
        <v>304</v>
      </c>
      <c r="C59" s="2" t="s">
        <v>309</v>
      </c>
      <c r="D59" s="2" t="s">
        <v>310</v>
      </c>
      <c r="E59" s="2" t="s">
        <v>311</v>
      </c>
      <c r="F59" s="2" t="s">
        <v>282</v>
      </c>
      <c r="G59" s="2" t="s">
        <v>29</v>
      </c>
      <c r="H59" s="2" t="s">
        <v>312</v>
      </c>
      <c r="I59" s="2"/>
      <c r="J59" s="2" t="s">
        <v>11</v>
      </c>
    </row>
    <row r="60" spans="1:10" ht="84" customHeight="1">
      <c r="A60" s="2" t="s">
        <v>313</v>
      </c>
      <c r="B60" s="2" t="s">
        <v>304</v>
      </c>
      <c r="C60" s="2" t="s">
        <v>314</v>
      </c>
      <c r="D60" s="2" t="s">
        <v>291</v>
      </c>
      <c r="E60" s="2" t="s">
        <v>315</v>
      </c>
      <c r="F60" s="2" t="s">
        <v>282</v>
      </c>
      <c r="G60" s="2" t="s">
        <v>29</v>
      </c>
      <c r="H60" s="2" t="s">
        <v>81</v>
      </c>
      <c r="I60" s="2"/>
      <c r="J60" s="2" t="s">
        <v>11</v>
      </c>
    </row>
    <row r="61" spans="1:10" ht="84" customHeight="1">
      <c r="A61" s="2" t="s">
        <v>316</v>
      </c>
      <c r="B61" s="2" t="s">
        <v>304</v>
      </c>
      <c r="C61" s="2" t="s">
        <v>317</v>
      </c>
      <c r="D61" s="2" t="s">
        <v>318</v>
      </c>
      <c r="E61" s="2" t="s">
        <v>319</v>
      </c>
      <c r="F61" s="2" t="s">
        <v>282</v>
      </c>
      <c r="G61" s="2" t="s">
        <v>29</v>
      </c>
      <c r="H61" s="2" t="s">
        <v>320</v>
      </c>
      <c r="I61" s="2"/>
      <c r="J61" s="2" t="s">
        <v>11</v>
      </c>
    </row>
    <row r="62" spans="1:10" ht="84" customHeight="1">
      <c r="A62" s="2" t="s">
        <v>321</v>
      </c>
      <c r="B62" s="2" t="s">
        <v>304</v>
      </c>
      <c r="C62" s="2" t="s">
        <v>322</v>
      </c>
      <c r="D62" s="2" t="s">
        <v>318</v>
      </c>
      <c r="E62" s="2" t="s">
        <v>323</v>
      </c>
      <c r="F62" s="2" t="s">
        <v>282</v>
      </c>
      <c r="G62" s="2" t="s">
        <v>29</v>
      </c>
      <c r="H62" s="2" t="s">
        <v>324</v>
      </c>
      <c r="I62" s="2"/>
      <c r="J62" s="2" t="s">
        <v>11</v>
      </c>
    </row>
    <row r="63" spans="1:10" ht="84" customHeight="1">
      <c r="A63" s="2" t="s">
        <v>325</v>
      </c>
      <c r="B63" s="2" t="s">
        <v>304</v>
      </c>
      <c r="C63" s="2" t="s">
        <v>326</v>
      </c>
      <c r="D63" s="2" t="s">
        <v>291</v>
      </c>
      <c r="E63" s="2" t="s">
        <v>327</v>
      </c>
      <c r="F63" s="2" t="s">
        <v>282</v>
      </c>
      <c r="G63" s="2" t="s">
        <v>29</v>
      </c>
      <c r="H63" s="2" t="s">
        <v>328</v>
      </c>
      <c r="I63" s="2"/>
      <c r="J63" s="2" t="s">
        <v>11</v>
      </c>
    </row>
    <row r="64" spans="1:10" ht="84" customHeight="1">
      <c r="A64" s="2" t="s">
        <v>329</v>
      </c>
      <c r="B64" s="2" t="s">
        <v>304</v>
      </c>
      <c r="C64" s="2" t="s">
        <v>330</v>
      </c>
      <c r="D64" s="2" t="s">
        <v>331</v>
      </c>
      <c r="E64" s="2" t="s">
        <v>332</v>
      </c>
      <c r="F64" s="2" t="s">
        <v>282</v>
      </c>
      <c r="G64" s="2" t="s">
        <v>29</v>
      </c>
      <c r="H64" s="2" t="s">
        <v>333</v>
      </c>
      <c r="I64" s="2"/>
      <c r="J64" s="2" t="s">
        <v>11</v>
      </c>
    </row>
    <row r="65" spans="1:10" ht="84" customHeight="1">
      <c r="A65" s="2" t="s">
        <v>334</v>
      </c>
      <c r="B65" s="2" t="s">
        <v>335</v>
      </c>
      <c r="C65" s="2" t="s">
        <v>336</v>
      </c>
      <c r="D65" s="2" t="s">
        <v>291</v>
      </c>
      <c r="E65" s="2" t="s">
        <v>337</v>
      </c>
      <c r="F65" s="2" t="s">
        <v>282</v>
      </c>
      <c r="G65" s="2" t="s">
        <v>29</v>
      </c>
      <c r="H65" s="2" t="s">
        <v>338</v>
      </c>
      <c r="I65" s="2"/>
      <c r="J65" s="2" t="s">
        <v>11</v>
      </c>
    </row>
    <row r="66" spans="1:10" ht="84" customHeight="1">
      <c r="A66" s="2" t="s">
        <v>339</v>
      </c>
      <c r="B66" s="2" t="s">
        <v>335</v>
      </c>
      <c r="C66" s="2" t="s">
        <v>340</v>
      </c>
      <c r="D66" s="2" t="s">
        <v>341</v>
      </c>
      <c r="E66" s="2" t="s">
        <v>342</v>
      </c>
      <c r="F66" s="2" t="s">
        <v>282</v>
      </c>
      <c r="G66" s="2" t="s">
        <v>29</v>
      </c>
      <c r="H66" s="2" t="s">
        <v>343</v>
      </c>
      <c r="I66" s="2"/>
      <c r="J66" s="2" t="s">
        <v>11</v>
      </c>
    </row>
    <row r="67" spans="1:10" ht="84" customHeight="1">
      <c r="A67" s="2" t="s">
        <v>344</v>
      </c>
      <c r="B67" s="2" t="s">
        <v>335</v>
      </c>
      <c r="C67" s="2" t="s">
        <v>345</v>
      </c>
      <c r="D67" s="2" t="s">
        <v>291</v>
      </c>
      <c r="E67" s="2" t="s">
        <v>346</v>
      </c>
      <c r="F67" s="2" t="s">
        <v>282</v>
      </c>
      <c r="G67" s="2" t="s">
        <v>29</v>
      </c>
      <c r="H67" s="2" t="s">
        <v>347</v>
      </c>
      <c r="I67" s="2"/>
      <c r="J67" s="2" t="s">
        <v>11</v>
      </c>
    </row>
    <row r="68" spans="1:10" ht="84" customHeight="1">
      <c r="A68" s="2" t="s">
        <v>348</v>
      </c>
      <c r="B68" s="2" t="s">
        <v>335</v>
      </c>
      <c r="C68" s="2" t="s">
        <v>349</v>
      </c>
      <c r="D68" s="2" t="s">
        <v>291</v>
      </c>
      <c r="E68" s="2" t="s">
        <v>350</v>
      </c>
      <c r="F68" s="2" t="s">
        <v>282</v>
      </c>
      <c r="G68" s="2" t="s">
        <v>29</v>
      </c>
      <c r="H68" s="2" t="s">
        <v>351</v>
      </c>
      <c r="I68" s="2"/>
      <c r="J68" s="2" t="s">
        <v>11</v>
      </c>
    </row>
    <row r="69" spans="1:10" ht="84" customHeight="1">
      <c r="A69" s="2" t="s">
        <v>352</v>
      </c>
      <c r="B69" s="2" t="s">
        <v>335</v>
      </c>
      <c r="C69" s="2" t="s">
        <v>353</v>
      </c>
      <c r="D69" s="2" t="s">
        <v>291</v>
      </c>
      <c r="E69" s="2" t="s">
        <v>354</v>
      </c>
      <c r="F69" s="2" t="s">
        <v>282</v>
      </c>
      <c r="G69" s="2" t="s">
        <v>29</v>
      </c>
      <c r="H69" s="2" t="s">
        <v>355</v>
      </c>
      <c r="I69" s="2"/>
      <c r="J69" s="2" t="s">
        <v>11</v>
      </c>
    </row>
    <row r="70" spans="1:10" ht="84" customHeight="1">
      <c r="A70" s="2" t="s">
        <v>356</v>
      </c>
      <c r="B70" s="2" t="s">
        <v>335</v>
      </c>
      <c r="C70" s="2" t="s">
        <v>357</v>
      </c>
      <c r="D70" s="2" t="s">
        <v>358</v>
      </c>
      <c r="E70" s="2" t="s">
        <v>359</v>
      </c>
      <c r="F70" s="2" t="s">
        <v>282</v>
      </c>
      <c r="G70" s="2" t="s">
        <v>29</v>
      </c>
      <c r="H70" s="2" t="s">
        <v>360</v>
      </c>
      <c r="I70" s="2"/>
      <c r="J70" s="2" t="s">
        <v>11</v>
      </c>
    </row>
    <row r="71" spans="1:10" ht="84" customHeight="1">
      <c r="A71" s="2" t="s">
        <v>361</v>
      </c>
      <c r="B71" s="2" t="s">
        <v>335</v>
      </c>
      <c r="C71" s="2" t="s">
        <v>362</v>
      </c>
      <c r="D71" s="2" t="s">
        <v>363</v>
      </c>
      <c r="E71" s="2" t="s">
        <v>364</v>
      </c>
      <c r="F71" s="2" t="s">
        <v>282</v>
      </c>
      <c r="G71" s="2" t="s">
        <v>29</v>
      </c>
      <c r="H71" s="2" t="s">
        <v>365</v>
      </c>
      <c r="I71" s="2"/>
      <c r="J71" s="2" t="s">
        <v>11</v>
      </c>
    </row>
    <row r="72" spans="1:10" ht="84" customHeight="1">
      <c r="A72" s="2" t="s">
        <v>366</v>
      </c>
      <c r="B72" s="2" t="s">
        <v>335</v>
      </c>
      <c r="C72" s="2" t="s">
        <v>367</v>
      </c>
      <c r="D72" s="2" t="s">
        <v>368</v>
      </c>
      <c r="E72" s="2" t="s">
        <v>369</v>
      </c>
      <c r="F72" s="2" t="s">
        <v>282</v>
      </c>
      <c r="G72" s="2" t="s">
        <v>29</v>
      </c>
      <c r="H72" s="2" t="s">
        <v>370</v>
      </c>
      <c r="I72" s="2"/>
      <c r="J72" s="2" t="s">
        <v>11</v>
      </c>
    </row>
    <row r="73" spans="1:10" ht="84" customHeight="1">
      <c r="A73" s="2" t="s">
        <v>371</v>
      </c>
      <c r="B73" s="2" t="s">
        <v>335</v>
      </c>
      <c r="C73" s="2" t="s">
        <v>372</v>
      </c>
      <c r="D73" s="2" t="s">
        <v>373</v>
      </c>
      <c r="E73" s="2" t="s">
        <v>374</v>
      </c>
      <c r="F73" s="2" t="s">
        <v>28</v>
      </c>
      <c r="G73" s="2" t="s">
        <v>29</v>
      </c>
      <c r="H73" s="2" t="s">
        <v>375</v>
      </c>
      <c r="I73" s="2"/>
      <c r="J73" s="2" t="s">
        <v>11</v>
      </c>
    </row>
    <row r="74" spans="1:10" ht="84" customHeight="1">
      <c r="A74" s="2" t="s">
        <v>376</v>
      </c>
      <c r="B74" s="2" t="s">
        <v>377</v>
      </c>
      <c r="C74" s="2" t="s">
        <v>378</v>
      </c>
      <c r="D74" s="2" t="s">
        <v>291</v>
      </c>
      <c r="E74" s="2" t="s">
        <v>379</v>
      </c>
      <c r="F74" s="2" t="s">
        <v>282</v>
      </c>
      <c r="G74" s="2" t="s">
        <v>29</v>
      </c>
      <c r="H74" s="2" t="s">
        <v>380</v>
      </c>
      <c r="I74" s="2"/>
      <c r="J74" s="2" t="s">
        <v>11</v>
      </c>
    </row>
    <row r="75" spans="1:10" ht="84" customHeight="1">
      <c r="A75" s="2" t="s">
        <v>381</v>
      </c>
      <c r="B75" s="2" t="s">
        <v>377</v>
      </c>
      <c r="C75" s="2" t="s">
        <v>382</v>
      </c>
      <c r="D75" s="2" t="s">
        <v>383</v>
      </c>
      <c r="E75" s="2" t="s">
        <v>384</v>
      </c>
      <c r="F75" s="2" t="s">
        <v>282</v>
      </c>
      <c r="G75" s="2" t="s">
        <v>29</v>
      </c>
      <c r="H75" s="2" t="s">
        <v>385</v>
      </c>
      <c r="I75" s="2"/>
      <c r="J75" s="2" t="s">
        <v>11</v>
      </c>
    </row>
    <row r="76" spans="1:10" ht="84" customHeight="1">
      <c r="A76" s="2" t="s">
        <v>386</v>
      </c>
      <c r="B76" s="2" t="s">
        <v>377</v>
      </c>
      <c r="C76" s="2" t="s">
        <v>387</v>
      </c>
      <c r="D76" s="2" t="s">
        <v>383</v>
      </c>
      <c r="E76" s="2" t="s">
        <v>388</v>
      </c>
      <c r="F76" s="2" t="s">
        <v>282</v>
      </c>
      <c r="G76" s="2" t="s">
        <v>29</v>
      </c>
      <c r="H76" s="2" t="s">
        <v>389</v>
      </c>
      <c r="I76" s="2"/>
      <c r="J76" s="2" t="s">
        <v>11</v>
      </c>
    </row>
    <row r="77" spans="1:10" ht="84" customHeight="1">
      <c r="A77" s="2" t="s">
        <v>390</v>
      </c>
      <c r="B77" s="2" t="s">
        <v>377</v>
      </c>
      <c r="C77" s="2" t="s">
        <v>391</v>
      </c>
      <c r="D77" s="2" t="s">
        <v>383</v>
      </c>
      <c r="E77" s="2" t="s">
        <v>392</v>
      </c>
      <c r="F77" s="2" t="s">
        <v>282</v>
      </c>
      <c r="G77" s="2" t="s">
        <v>29</v>
      </c>
      <c r="H77" s="2" t="s">
        <v>393</v>
      </c>
      <c r="I77" s="2"/>
      <c r="J77" s="2" t="s">
        <v>11</v>
      </c>
    </row>
    <row r="78" spans="1:10" ht="84" customHeight="1">
      <c r="A78" s="2" t="s">
        <v>394</v>
      </c>
      <c r="B78" s="2" t="s">
        <v>377</v>
      </c>
      <c r="C78" s="2" t="s">
        <v>395</v>
      </c>
      <c r="D78" s="2" t="s">
        <v>383</v>
      </c>
      <c r="E78" s="2" t="s">
        <v>396</v>
      </c>
      <c r="F78" s="2" t="s">
        <v>282</v>
      </c>
      <c r="G78" s="2" t="s">
        <v>29</v>
      </c>
      <c r="H78" s="2" t="s">
        <v>397</v>
      </c>
      <c r="I78" s="2"/>
      <c r="J78" s="2" t="s">
        <v>11</v>
      </c>
    </row>
    <row r="79" spans="1:10" ht="84" customHeight="1">
      <c r="A79" s="2" t="s">
        <v>398</v>
      </c>
      <c r="B79" s="2" t="s">
        <v>377</v>
      </c>
      <c r="C79" s="2" t="s">
        <v>399</v>
      </c>
      <c r="D79" s="2" t="s">
        <v>383</v>
      </c>
      <c r="E79" s="2" t="s">
        <v>400</v>
      </c>
      <c r="F79" s="2" t="s">
        <v>282</v>
      </c>
      <c r="G79" s="2" t="s">
        <v>29</v>
      </c>
      <c r="H79" s="2" t="s">
        <v>401</v>
      </c>
      <c r="I79" s="2"/>
      <c r="J79" s="2" t="s">
        <v>11</v>
      </c>
    </row>
    <row r="80" spans="1:10" ht="84" customHeight="1">
      <c r="A80" s="2" t="s">
        <v>402</v>
      </c>
      <c r="B80" s="2" t="s">
        <v>403</v>
      </c>
      <c r="C80" s="2" t="s">
        <v>404</v>
      </c>
      <c r="D80" s="2" t="s">
        <v>405</v>
      </c>
      <c r="E80" s="2" t="s">
        <v>406</v>
      </c>
      <c r="F80" s="2" t="s">
        <v>28</v>
      </c>
      <c r="G80" s="2" t="s">
        <v>29</v>
      </c>
      <c r="H80" s="2" t="s">
        <v>407</v>
      </c>
      <c r="I80" s="2"/>
      <c r="J80" s="2" t="s">
        <v>11</v>
      </c>
    </row>
    <row r="81" spans="1:10" ht="84" customHeight="1">
      <c r="A81" s="2" t="s">
        <v>408</v>
      </c>
      <c r="B81" s="2" t="s">
        <v>403</v>
      </c>
      <c r="C81" s="2" t="s">
        <v>409</v>
      </c>
      <c r="D81" s="2" t="s">
        <v>410</v>
      </c>
      <c r="E81" s="2" t="s">
        <v>411</v>
      </c>
      <c r="F81" s="2" t="s">
        <v>28</v>
      </c>
      <c r="G81" s="2" t="s">
        <v>29</v>
      </c>
      <c r="H81" s="2" t="s">
        <v>412</v>
      </c>
      <c r="I81" s="2"/>
      <c r="J81" s="2" t="s">
        <v>11</v>
      </c>
    </row>
    <row r="82" spans="1:10" ht="84" customHeight="1">
      <c r="A82" s="2" t="s">
        <v>413</v>
      </c>
      <c r="B82" s="2" t="s">
        <v>403</v>
      </c>
      <c r="C82" s="2" t="s">
        <v>414</v>
      </c>
      <c r="D82" s="2" t="s">
        <v>415</v>
      </c>
      <c r="E82" s="2" t="s">
        <v>416</v>
      </c>
      <c r="F82" s="2" t="s">
        <v>28</v>
      </c>
      <c r="G82" s="2" t="s">
        <v>29</v>
      </c>
      <c r="H82" s="2" t="s">
        <v>417</v>
      </c>
      <c r="I82" s="2"/>
      <c r="J82" s="2" t="s">
        <v>11</v>
      </c>
    </row>
  </sheetData>
  <mergeCells count="1">
    <mergeCell ref="A1:J1"/>
  </mergeCells>
  <conditionalFormatting sqref="J3:J82">
    <cfRule type="expression" dxfId="3" priority="1">
      <formula>J3="Passed"</formula>
    </cfRule>
    <cfRule type="expression" dxfId="2" priority="2">
      <formula>J3="Failed"</formula>
    </cfRule>
    <cfRule type="expression" dxfId="1" priority="3">
      <formula>J3="Blocked"</formula>
    </cfRule>
    <cfRule type="expression" dxfId="0" priority="4">
      <formula>J3="Not Run"</formula>
    </cfRule>
  </conditionalFormatting>
  <dataValidations count="1">
    <dataValidation type="list" sqref="J3:J82" xr:uid="{00000000-0002-0000-0000-000000000000}">
      <formula1>"Not Run,Passed,Failed,Blocked"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B4" sqref="B4"/>
    </sheetView>
  </sheetViews>
  <sheetFormatPr baseColWidth="10" defaultColWidth="8.83203125" defaultRowHeight="15"/>
  <cols>
    <col min="1" max="1" width="22" customWidth="1"/>
    <col min="2" max="2" width="18" customWidth="1"/>
  </cols>
  <sheetData>
    <row r="1" spans="1:4" ht="37.25" customHeight="1">
      <c r="A1" s="6" t="s">
        <v>15</v>
      </c>
      <c r="B1" s="6"/>
      <c r="C1" s="6"/>
      <c r="D1" s="6"/>
    </row>
    <row r="3" spans="1:4" ht="16">
      <c r="A3" s="3" t="s">
        <v>16</v>
      </c>
      <c r="B3" s="4">
        <f>COUNTA('Login Test Scenarios'!A3:A12)</f>
        <v>10</v>
      </c>
    </row>
    <row r="4" spans="1:4" ht="16">
      <c r="A4" s="3" t="s">
        <v>17</v>
      </c>
      <c r="B4" s="4">
        <f>COUNTIF('Login Test Scenarios'!J3:J12,"Passed")</f>
        <v>10</v>
      </c>
    </row>
    <row r="5" spans="1:4" ht="16">
      <c r="A5" s="3" t="s">
        <v>18</v>
      </c>
      <c r="B5" s="4">
        <f>COUNTIF('Login Test Scenarios'!J3:J12,"Failed")</f>
        <v>0</v>
      </c>
    </row>
    <row r="6" spans="1:4" ht="16">
      <c r="A6" s="3" t="s">
        <v>19</v>
      </c>
      <c r="B6" s="4">
        <f>COUNTIF('Login Test Scenarios'!J3:J12,"Blocked")</f>
        <v>0</v>
      </c>
    </row>
    <row r="7" spans="1:4" ht="16">
      <c r="A7" s="3" t="s">
        <v>11</v>
      </c>
      <c r="B7" s="4">
        <f>COUNTIF('Login Test Scenarios'!J3:J12,"Not Run")</f>
        <v>0</v>
      </c>
    </row>
    <row r="8" spans="1:4" ht="16">
      <c r="A8" s="3" t="s">
        <v>20</v>
      </c>
      <c r="B8" s="4" t="s">
        <v>21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 Test Scenarios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Ngô</cp:lastModifiedBy>
  <dcterms:created xsi:type="dcterms:W3CDTF">2026-06-22T10:48:15Z</dcterms:created>
  <dcterms:modified xsi:type="dcterms:W3CDTF">2026-06-29T16:56:26Z</dcterms:modified>
</cp:coreProperties>
</file>